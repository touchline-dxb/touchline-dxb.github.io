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/>
  <sheets>
    <sheet name="Executive Summary" sheetId="1" r:id="rId2"/>
    <sheet name="Correction Register" sheetId="2" r:id="rId3"/>
    <sheet name="Required Inputs" sheetId="3" r:id="rId4"/>
    <sheet name="90-Day Plan" sheetId="4" r:id="rId5"/>
    <sheet name="Monitoring Prompts" sheetId="5" r:id="rId6"/>
    <sheet name="Sources" sheetId="6" r:id="rId7"/>
  </sheets>
  <calcPr calcId="162913"/>
</workbook>
</file>

<file path=xl/sharedStrings.xml><?xml version="1.0" encoding="utf-8"?>
<sst xmlns="http://schemas.openxmlformats.org/spreadsheetml/2006/main" count="814" uniqueCount="459">
  <si>
    <t>Touchline Sports Academy — Website &amp; AI Visibility Correction Report</t>
  </si>
  <si>
    <t>Domain reviewed: touchlinesport.ae | Audit date: 16 Aug 2026 | Public website and listing review</t>
  </si>
  <si>
    <t>Report date</t>
  </si>
  <si>
    <t>Total corrections</t>
  </si>
  <si>
    <t>Critical open</t>
  </si>
  <si>
    <t>High open</t>
  </si>
  <si>
    <t>Medium open</t>
  </si>
  <si>
    <t>Low open</t>
  </si>
  <si>
    <t>Completed</t>
  </si>
  <si>
    <t>Progress</t>
  </si>
  <si>
    <t>Overall status</t>
  </si>
  <si>
    <t>Action Required</t>
  </si>
  <si>
    <t>Key Findings</t>
  </si>
  <si>
    <t>1</t>
  </si>
  <si>
    <t>Strong foundation</t>
  </si>
  <si>
    <t>The site is indexed and contains dedicated programme pages, a sitemap, robots.txt, FAQs, structured data and a clear free-trial conversion path.</t>
  </si>
  <si>
    <t>2</t>
  </si>
  <si>
    <t>Factual consistency</t>
  </si>
  <si>
    <t>Age ranges, girls-programme status, contact numbers and operating hours are inconsistent across website pages and public listings.</t>
  </si>
  <si>
    <t>3</t>
  </si>
  <si>
    <t>Evidence quality</t>
  </si>
  <si>
    <t>Repeated superlatives such as ‘best’, ‘#1’, ‘premier’ and ‘world-class’ should be supported by verifiable evidence or replaced with factual differentiators.</t>
  </si>
  <si>
    <t>4</t>
  </si>
  <si>
    <t>Local visibility</t>
  </si>
  <si>
    <t>Separate Al Nahda and Al Warqa pages, accurate map profiles, consistent branch data and branch-specific structured data should strengthen local discovery.</t>
  </si>
  <si>
    <t>5</t>
  </si>
  <si>
    <t>ChatGPT search access</t>
  </si>
  <si>
    <t>robots.txt permits several AI agents but should explicitly allow OAI-SearchBot, the OpenAI crawler used for ChatGPT search inclusion.</t>
  </si>
  <si>
    <t>Recommended Decision</t>
  </si>
  <si>
    <t>Correct critical factual inconsistencies first, then run a 90-day visibility programme using structured website improvements, authentic third-party evidence, local listing consistency and prompt monitoring. A managed AI-visibility subscription should be considered only after the website and public profiles share one verified set of facts.</t>
  </si>
  <si>
    <t>Workbook Guide</t>
  </si>
  <si>
    <t>Correction Register</t>
  </si>
  <si>
    <t>Prioritised findings, evidence, recommended actions, owners, target dates and verification requirements.</t>
  </si>
  <si>
    <t>Required Inputs</t>
  </si>
  <si>
    <t>Information the academy must confirm before corrections are implemented.</t>
  </si>
  <si>
    <t>90-Day Plan</t>
  </si>
  <si>
    <t>Practical implementation sequence from fact correction to monitoring and optimisation.</t>
  </si>
  <si>
    <t>Monitoring Prompts</t>
  </si>
  <si>
    <t>Fifteen local, high-intent questions to track across leading AI/search platforms.</t>
  </si>
  <si>
    <t>Sources</t>
  </si>
  <si>
    <t>Public URLs reviewed and the evidence obtained from each source.</t>
  </si>
  <si>
    <t>Update Status, Owner, Verification and Target Date as actions are completed. Target dates are priority-driven from the report date.</t>
  </si>
  <si>
    <t>Priority key: Critical = correct within 7 days | High = 14 days | Medium = 30 days | Low = 45 days</t>
  </si>
  <si>
    <t>ID</t>
  </si>
  <si>
    <t>Area</t>
  </si>
  <si>
    <t>Finding</t>
  </si>
  <si>
    <t>Current Evidence</t>
  </si>
  <si>
    <t>Risk / Impact</t>
  </si>
  <si>
    <t>Recommended Correction</t>
  </si>
  <si>
    <t>Priority</t>
  </si>
  <si>
    <t>Status</t>
  </si>
  <si>
    <t>Owner</t>
  </si>
  <si>
    <t>Verification Required</t>
  </si>
  <si>
    <t>Target Date</t>
  </si>
  <si>
    <t>Source URL</t>
  </si>
  <si>
    <t>C-001</t>
  </si>
  <si>
    <t>Programme facts</t>
  </si>
  <si>
    <t>Age ranges are inconsistent.</t>
  </si>
  <si>
    <t>Homepage shows U6 ages 3–5 and general ages 4–18+; U6 page title/body refers to ages 4–6; registration accepts age 3.</t>
  </si>
  <si>
    <t>AI systems and parents may receive contradictory answers.</t>
  </si>
  <si>
    <t>Approve one official age matrix and apply it to every programme page, FAQ, form, schema and listing.</t>
  </si>
  <si>
    <t>High</t>
  </si>
  <si>
    <t>Needs Confirmation</t>
  </si>
  <si>
    <t>Academy Owner</t>
  </si>
  <si>
    <t>Compare all programme pages after update</t>
  </si>
  <si>
    <t>https://touchlinesport.ae/; https://touchlinesport.ae/academy/u6/; https://touchlinesport.ae/register/</t>
  </si>
  <si>
    <t>C-002</t>
  </si>
  <si>
    <t>Girls programme</t>
  </si>
  <si>
    <t>Programme availability is contradictory.</t>
  </si>
  <si>
    <t>Homepage says launching soon, while other sections and registration show Girls Football as available.</t>
  </si>
  <si>
    <t>Parents may book a programme that is not operating; AI answers may be unreliable.</t>
  </si>
  <si>
    <t>Confirm Active, Waitlist or Launching Soon. Use the same status, age range, location and schedule everywhere.</t>
  </si>
  <si>
    <t>Check homepage, programme page, registration and locations FAQ</t>
  </si>
  <si>
    <t>https://touchlinesport.ae/; https://touchlinesport.ae/academy/girls-program/; https://touchlinesport.ae/register/</t>
  </si>
  <si>
    <t>C-003</t>
  </si>
  <si>
    <t>Contact details</t>
  </si>
  <si>
    <t>Telephone numbers differ across public profiles.</t>
  </si>
  <si>
    <t>Website uses +971 56 130 0850; public social/directory results display other numbers.</t>
  </si>
  <si>
    <t>Lost enquiries and weakened entity consistency across search and AI systems.</t>
  </si>
  <si>
    <t>Select one primary number. If branch numbers differ, label each clearly. Correct every owned and third-party listing.</t>
  </si>
  <si>
    <t>Critical</t>
  </si>
  <si>
    <t>Open</t>
  </si>
  <si>
    <t>Marketing / Admin</t>
  </si>
  <si>
    <t>Call every published number and recheck listings</t>
  </si>
  <si>
    <t>https://touchlinesport.ae/; https://www.instagram.com/touchline_academy/; https://tickikids.com/ae-du/touchline-sport-academy/</t>
  </si>
  <si>
    <t>C-004</t>
  </si>
  <si>
    <t>Opening hours</t>
  </si>
  <si>
    <t>Operating hours are inconsistent.</t>
  </si>
  <si>
    <t>Locations page shows 4:00–10:00 PM; structured data shows 10:00 AM–10:00 PM; adult search text has displayed 24/7 wording.</t>
  </si>
  <si>
    <t>Wrong visit expectations and inconsistent machine-readable facts.</t>
  </si>
  <si>
    <t>Publish exact customer-service and training hours by branch and programme. Align page text, metadata, schema and map profiles.</t>
  </si>
  <si>
    <t>Validate hours in page text, source schema and map profiles</t>
  </si>
  <si>
    <t>https://touchlinesport.ae/locations/; https://touchlinesport.ae/academy/adult-training/</t>
  </si>
  <si>
    <t>C-005</t>
  </si>
  <si>
    <t>Reviews</t>
  </si>
  <si>
    <t>Rating and review count require current verification.</t>
  </si>
  <si>
    <t>Website states 4.9 from 200+ reviews; other public listings show different figures.</t>
  </si>
  <si>
    <t>Outdated or unsupported review claims reduce credibility.</t>
  </si>
  <si>
    <t>Use the exact current Google rating/count, link the correct profile and record the verified date. Update quarterly.</t>
  </si>
  <si>
    <t>Screenshot current Google profile and test review link</t>
  </si>
  <si>
    <t>https://touchlinesport.ae/; https://kidshub.ae/academy/touchline-football-academy</t>
  </si>
  <si>
    <t>C-006</t>
  </si>
  <si>
    <t>Brand claims</t>
  </si>
  <si>
    <t>Superlatives are used extensively without cited proof.</t>
  </si>
  <si>
    <t>Best, #1, leading, premier, world-class and proven results recur across pages and schema.</t>
  </si>
  <si>
    <t>Self-asserted claims are less trustworthy than independently verifiable facts.</t>
  </si>
  <si>
    <t>Reduce unsupported superlatives. Lead with licensed coaches, locations, free trial, programme structure, verified ratings and real outcomes.</t>
  </si>
  <si>
    <t>Medium</t>
  </si>
  <si>
    <t>Website Admin</t>
  </si>
  <si>
    <t>Editorial review of titles, headings, FAQs and schema</t>
  </si>
  <si>
    <t>https://touchlinesport.ae/; https://touchlinesport.ae/about-us/</t>
  </si>
  <si>
    <t>C-007</t>
  </si>
  <si>
    <t>Pricing</t>
  </si>
  <si>
    <t>Pricing is present in structured data but not clearly explained to visitors.</t>
  </si>
  <si>
    <t>Schema states AED 300–800; public pages generally ask visitors to enquire for fees.</t>
  </si>
  <si>
    <t>AI may surface a price range that parents cannot verify on-page.</t>
  </si>
  <si>
    <t>Confirm the range. Publish a dated fee/package table or remove priceRange from schema until accurate public pricing is available.</t>
  </si>
  <si>
    <t>Reconcile public fee table with schema and sales quotation</t>
  </si>
  <si>
    <t>https://touchlinesport.ae/; https://touchlinesport.ae/football-academy-dubai/</t>
  </si>
  <si>
    <t>C-008</t>
  </si>
  <si>
    <t>Local pages</t>
  </si>
  <si>
    <t>Two branches share one combined location page.</t>
  </si>
  <si>
    <t>Al Nahda has coordinates in main schema; Al Warqa lacks equally complete branch information and coordinates.</t>
  </si>
  <si>
    <t>Reduced relevance for branch-specific searches and recommendations.</t>
  </si>
  <si>
    <t>Create dedicated Al Nahda and Al Warqa pages with full address, map, coordinates, transport, parking, schedules, programmes and branch-specific schema.</t>
  </si>
  <si>
    <t>Validate both pages and structured data</t>
  </si>
  <si>
    <t>https://touchlinesport.ae/locations/</t>
  </si>
  <si>
    <t>C-009</t>
  </si>
  <si>
    <t>AI crawler access</t>
  </si>
  <si>
    <t>OAI-SearchBot is not explicitly listed in robots.txt.</t>
  </si>
  <si>
    <t>GPTBot and ChatGPT-User are allowed, but OpenAI identifies OAI-SearchBot as its search crawler.</t>
  </si>
  <si>
    <t>ChatGPT search discovery may not be optimally declared.</t>
  </si>
  <si>
    <t>Add an explicit OAI-SearchBot Allow rule and retain general crawl access. Recheck after deployment.</t>
  </si>
  <si>
    <t>Open robots.txt and confirm OAI-SearchBot rule</t>
  </si>
  <si>
    <t>https://touchlinesport.ae/robots.txt; https://developers.openai.com/api/docs/bots</t>
  </si>
  <si>
    <t>C-010</t>
  </si>
  <si>
    <t>Sitemap freshness</t>
  </si>
  <si>
    <t>Sitemap modification dates are stale or manually maintained.</t>
  </si>
  <si>
    <t>Most lastmod values remain in February/March 2026 despite later page changes.</t>
  </si>
  <si>
    <t>Search systems receive weak freshness signals and new updates may be discovered later.</t>
  </si>
  <si>
    <t>Generate sitemap dates automatically from actual deployments and add any new articles or location pages.</t>
  </si>
  <si>
    <t>Compare sitemap lastmod dates with deployed page updates</t>
  </si>
  <si>
    <t>https://touchlinesport.ae/sitemap.xml</t>
  </si>
  <si>
    <t>C-011</t>
  </si>
  <si>
    <t>Business email</t>
  </si>
  <si>
    <t>A Gmail address is used as the main public contact.</t>
  </si>
  <si>
    <t>touchlinedxb@gmail.com appears across the site.</t>
  </si>
  <si>
    <t>Not a direct ranking problem, but a domain email improves brand consistency and professionalism.</t>
  </si>
  <si>
    <t>Create and publish info@touchlinesport.ae or academy@touchlinesport.ae while forwarding the existing mailbox.</t>
  </si>
  <si>
    <t>Low</t>
  </si>
  <si>
    <t>IT / Admin</t>
  </si>
  <si>
    <t>Send and receive test messages; update footer and forms</t>
  </si>
  <si>
    <t>https://touchlinesport.ae/</t>
  </si>
  <si>
    <t>C-012</t>
  </si>
  <si>
    <t>Map profiles</t>
  </si>
  <si>
    <t>Branch map identity needs verification.</t>
  </si>
  <si>
    <t>The website refers to two locations, but unique verified Google profile links for each branch are not clearly presented in the inspected content.</t>
  </si>
  <si>
    <t>AI and local search may not reliably connect each branch to the academy.</t>
  </si>
  <si>
    <t>Maintain one eligible, accurate profile per physical staffed location and link each branch page to the exact profile/map.</t>
  </si>
  <si>
    <t>Verify ownership, names, categories, phones and map pins</t>
  </si>
  <si>
    <t>C-013</t>
  </si>
  <si>
    <t>Coach evidence</t>
  </si>
  <si>
    <t>Coach qualifications are described mostly in aggregate.</t>
  </si>
  <si>
    <t>The site mentions CAF C, AFC B and AFC A licences and a goalkeeper specialist, with limited named credential profiles.</t>
  </si>
  <si>
    <t>The academy’s strongest trust signal is difficult for parents and AI systems to verify.</t>
  </si>
  <si>
    <t>Add named coach profiles with role, licence issuer/level, experience, specialism and approved evidence.</t>
  </si>
  <si>
    <t>Verify each profile against credential documents</t>
  </si>
  <si>
    <t>https://touchlinesport.ae/about-us/</t>
  </si>
  <si>
    <t>C-014</t>
  </si>
  <si>
    <t>Brand naming</t>
  </si>
  <si>
    <t>Public naming varies between ‘Touchline Sport Academy’, ‘Touchline Sports Academy’ and ‘Touchline Football Academy’.</t>
  </si>
  <si>
    <t>Different variants appear across website, LinkedIn and directory/social listings.</t>
  </si>
  <si>
    <t>Entity fragmentation can weaken machine confidence that profiles represent the same organisation.</t>
  </si>
  <si>
    <t>Approve one primary brand name and use alternatives only as clearly defined aliases.</t>
  </si>
  <si>
    <t>Audit website footer, titles and all social/directory profiles</t>
  </si>
  <si>
    <t>https://touchlinesport.ae/; https://www.linkedin.com/company/touchline-sport-academy</t>
  </si>
  <si>
    <t>C-015</t>
  </si>
  <si>
    <t>Content quality</t>
  </si>
  <si>
    <t>Programme pages contain repeated promotional and registration blocks.</t>
  </si>
  <si>
    <t>Similar ‘best academy’, free-trial and generic location sections recur across programme pages.</t>
  </si>
  <si>
    <t>Excess repetition can obscure the unique value and factual detail of each programme.</t>
  </si>
  <si>
    <t>Keep shared conversion blocks concise; expand unique curriculum, outcomes, schedule, coach, class size and progression information per programme.</t>
  </si>
  <si>
    <t>Compare page similarity and confirm unique programme facts</t>
  </si>
  <si>
    <t>https://touchlinesport.ae/academy/u6/; https://touchlinesport.ae/academy/u8/; https://touchlinesport.ae/academy/u10/</t>
  </si>
  <si>
    <t>C-016</t>
  </si>
  <si>
    <t>Adult programme metadata</t>
  </si>
  <si>
    <t>Adult page search text has displayed 24/7 wording inconsistent with other hours.</t>
  </si>
  <si>
    <t>Search result text has shown ‘24/7 open facility’, while the locations page shows evening hours.</t>
  </si>
  <si>
    <t>Potentially misleading search/AI answer and failed visits.</t>
  </si>
  <si>
    <t>Remove incorrect 24/7 wording from metadata/content and state precise adult session times.</t>
  </si>
  <si>
    <t>Re-crawl page and check live search snippet after update</t>
  </si>
  <si>
    <t>https://touchlinesport.ae/academy/adult-training/</t>
  </si>
  <si>
    <t>C-017</t>
  </si>
  <si>
    <t>Third-party listings</t>
  </si>
  <si>
    <t>External directory information is inconsistent or outdated.</t>
  </si>
  <si>
    <t>Tickikids and KidsHub display different contact, age or review information from the website.</t>
  </si>
  <si>
    <t>Third-party conflicts weaken citation consistency and may misdirect leads.</t>
  </si>
  <si>
    <t>Claim/update major listings using the approved fact sheet; document login ownership and last review date.</t>
  </si>
  <si>
    <t>Recheck top 10 branded search results</t>
  </si>
  <si>
    <t>https://tickikids.com/ae-du/touchline-sport-academy/; https://kidshub.ae/academy/touchline-football-academy</t>
  </si>
  <si>
    <t>C-018</t>
  </si>
  <si>
    <t>URL structure</t>
  </si>
  <si>
    <t>The U14+ page uses a plus sign and the goalkeeper page uses an update-style slug.</t>
  </si>
  <si>
    <t>Sitemap includes /academy/u14+/ and /academy/goalkeeping_update/.</t>
  </si>
  <si>
    <t>URLs are less stable, descriptive and shareable than clean permanent slugs.</t>
  </si>
  <si>
    <t>Adopt /academy/u14-plus/ and /academy/goalkeeper-training/ with permanent redirects and canonical updates.</t>
  </si>
  <si>
    <t>Test redirects, canonicals, internal links and sitemap</t>
  </si>
  <si>
    <t>C-019</t>
  </si>
  <si>
    <t>Licensing claims</t>
  </si>
  <si>
    <t>Academy approval and coach licensing language requires precise substantiation.</t>
  </si>
  <si>
    <t>Website refers to CAF/AFC coach licences; public listings/profile text may use FA-approved or UEFA-approved academy wording.</t>
  </si>
  <si>
    <t>Unverifiable regulatory or affiliation claims can create reputational and compliance risk.</t>
  </si>
  <si>
    <t>Separate academy licence/approval from individual coach credentials. Publish only wording supported by current documents.</t>
  </si>
  <si>
    <t>Review trade/sports licences, affiliations and coach certificates</t>
  </si>
  <si>
    <t>https://touchlinesport.ae/about-us/; https://tickikids.com/ae-du/touchline-sport-academy/</t>
  </si>
  <si>
    <t>C-020</t>
  </si>
  <si>
    <t>Lead attribution</t>
  </si>
  <si>
    <t>The free-trial process does not visibly capture AI-source attribution.</t>
  </si>
  <si>
    <t>Registration collects participant and guardian details but no inspected source field identifies ChatGPT, Gemini or other channels.</t>
  </si>
  <si>
    <t>Visibility improvements cannot be connected reliably to trials, registrations or revenue.</t>
  </si>
  <si>
    <t>Add ‘How did you hear about us?’ options and UTM/landing-page tracking; report trial-to-paid conversion by source monthly.</t>
  </si>
  <si>
    <t>Submit test leads and confirm source reaches the lead tracker</t>
  </si>
  <si>
    <t>https://touchlinesport.ae/register/</t>
  </si>
  <si>
    <t>Required Inputs &amp; Confirmations</t>
  </si>
  <si>
    <t>Complete the yellow Owner-Confirmed Value column before factual corrections are published.</t>
  </si>
  <si>
    <t>Input ID</t>
  </si>
  <si>
    <t>Information Required</t>
  </si>
  <si>
    <t>Current Public Value / Observation</t>
  </si>
  <si>
    <t>Owner-Confirmed Value</t>
  </si>
  <si>
    <t>Evidence / Document</t>
  </si>
  <si>
    <t>I-001</t>
  </si>
  <si>
    <t>Official primary brand name</t>
  </si>
  <si>
    <t>Touchline Sports Academy; variants appear publicly</t>
  </si>
  <si>
    <t>Trade licence / approved brand standard</t>
  </si>
  <si>
    <t>I-002</t>
  </si>
  <si>
    <t>Primary customer telephone</t>
  </si>
  <si>
    <t>+971 56 130 0850 on website; other numbers appear externally</t>
  </si>
  <si>
    <t>Active SIM/WhatsApp confirmation</t>
  </si>
  <si>
    <t>I-003</t>
  </si>
  <si>
    <t>Official programme age matrix</t>
  </si>
  <si>
    <t>Conflicting 3–5, 4–6 and 4–18+ references</t>
  </si>
  <si>
    <t>Approved programme handbook</t>
  </si>
  <si>
    <t>I-004</t>
  </si>
  <si>
    <t>Girls programme status, ages, branch and schedule</t>
  </si>
  <si>
    <t>Launching soon and available are both stated</t>
  </si>
  <si>
    <t>Current operations schedule</t>
  </si>
  <si>
    <t>I-005</t>
  </si>
  <si>
    <t>Al Nahda operating and training hours</t>
  </si>
  <si>
    <t>4:00–10:00 PM shown on locations page</t>
  </si>
  <si>
    <t>Approved timetable</t>
  </si>
  <si>
    <t>I-006</t>
  </si>
  <si>
    <t>Al Warqa operating and training hours</t>
  </si>
  <si>
    <t>I-007</t>
  </si>
  <si>
    <t>Adult programme session times</t>
  </si>
  <si>
    <t>Evenings/weekends stated; 24/7 wording has appeared in search text</t>
  </si>
  <si>
    <t>I-008</t>
  </si>
  <si>
    <t>Current fee and package table</t>
  </si>
  <si>
    <t>Schema states AED 300–800; detailed public fees unavailable</t>
  </si>
  <si>
    <t>Approved price list</t>
  </si>
  <si>
    <t>I-009</t>
  </si>
  <si>
    <t>Google profile links and current rating/count</t>
  </si>
  <si>
    <t>Website states 4.9 and 200+ reviews</t>
  </si>
  <si>
    <t>Profile links and dated screenshots</t>
  </si>
  <si>
    <t>I-010</t>
  </si>
  <si>
    <t>Exact map address and coordinates for both branches</t>
  </si>
  <si>
    <t>Al Warqa data is less complete than Al Nahda</t>
  </si>
  <si>
    <t>Google Maps links / venue agreement</t>
  </si>
  <si>
    <t>I-011</t>
  </si>
  <si>
    <t>Named coach profiles and credentials</t>
  </si>
  <si>
    <t>CAF/AFC levels stated mostly in aggregate</t>
  </si>
  <si>
    <t>Coach consent and certificate copies</t>
  </si>
  <si>
    <t>I-012</t>
  </si>
  <si>
    <t>Academy licence, approval and affiliation wording</t>
  </si>
  <si>
    <t>FA/UEFA/CAF/AFC language varies by source</t>
  </si>
  <si>
    <t>Trade/sports licences and affiliation letters</t>
  </si>
  <si>
    <t>I-013</t>
  </si>
  <si>
    <t>Domain email address</t>
  </si>
  <si>
    <t>touchlinedxb@gmail.com</t>
  </si>
  <si>
    <t>Mailbox configuration</t>
  </si>
  <si>
    <t>I-014</t>
  </si>
  <si>
    <t>Website repository/access route</t>
  </si>
  <si>
    <t>Site is deployed through GitHub Pages</t>
  </si>
  <si>
    <t>Repository access or website ZIP</t>
  </si>
  <si>
    <t>90-Day Implementation Plan</t>
  </si>
  <si>
    <t>Sequence corrections before content expansion so every channel uses verified information.</t>
  </si>
  <si>
    <t>Phase</t>
  </si>
  <si>
    <t>Timing</t>
  </si>
  <si>
    <t>Action</t>
  </si>
  <si>
    <t>Deliverable</t>
  </si>
  <si>
    <t>Dependency</t>
  </si>
  <si>
    <t>Success Check</t>
  </si>
  <si>
    <t>1 — Verify</t>
  </si>
  <si>
    <t>Days 1–3</t>
  </si>
  <si>
    <t>Approve the academy fact sheet.</t>
  </si>
  <si>
    <t>Confirmed name, phones, ages, programmes, hours, fees, branch details, reviews and credentials.</t>
  </si>
  <si>
    <t>Required Inputs completed</t>
  </si>
  <si>
    <t>All critical fields approved with evidence</t>
  </si>
  <si>
    <t>Not Started</t>
  </si>
  <si>
    <t>1 — Correct</t>
  </si>
  <si>
    <t>Days 4–7</t>
  </si>
  <si>
    <t>Correct critical contact, listing and licensing conflicts.</t>
  </si>
  <si>
    <t>Website and priority profiles use approved facts.</t>
  </si>
  <si>
    <t>Approved fact sheet</t>
  </si>
  <si>
    <t>No conflicting phone or unsupported approval claims in top branded results</t>
  </si>
  <si>
    <t>Days 8–14</t>
  </si>
  <si>
    <t>Align ages, girls status, hours, reviews and pricing.</t>
  </si>
  <si>
    <t>Consistent homepage, programme pages, registration, footer and schema.</t>
  </si>
  <si>
    <t>Cross-page factual audit passes</t>
  </si>
  <si>
    <t>2 — Local</t>
  </si>
  <si>
    <t>Days 15–25</t>
  </si>
  <si>
    <t>Create dedicated branch pages.</t>
  </si>
  <si>
    <t>Al Nahda and Al Warqa pages with maps, schedules, programmes and branch schema.</t>
  </si>
  <si>
    <t>Map links and coordinates</t>
  </si>
  <si>
    <t>Both pages indexed and linked from navigation</t>
  </si>
  <si>
    <t>2 — Technical</t>
  </si>
  <si>
    <t>Update robots, sitemap, clean URLs and redirects.</t>
  </si>
  <si>
    <t>OAI-SearchBot rule, current sitemap dates, stable slugs and verified canonicals.</t>
  </si>
  <si>
    <t>Repository access</t>
  </si>
  <si>
    <t>Technical validation completed</t>
  </si>
  <si>
    <t>2 — Evidence</t>
  </si>
  <si>
    <t>Days 20–35</t>
  </si>
  <si>
    <t>Publish coach and academy proof.</t>
  </si>
  <si>
    <t>Named coach profiles, accurate licensing wording and verified review links.</t>
  </si>
  <si>
    <t>Documents and consent</t>
  </si>
  <si>
    <t>Every public credential claim is traceable</t>
  </si>
  <si>
    <t>3 — Content</t>
  </si>
  <si>
    <t>Days 30–60</t>
  </si>
  <si>
    <t>Publish useful local and programme content.</t>
  </si>
  <si>
    <t>Two evidence-based pages/articles per month plus branch and programme FAQs.</t>
  </si>
  <si>
    <t>Verified facts</t>
  </si>
  <si>
    <t>New pages indexed; no duplicate generic content</t>
  </si>
  <si>
    <t>3 — Listings</t>
  </si>
  <si>
    <t>Correct and expand authoritative public citations.</t>
  </si>
  <si>
    <t>Updated social profiles, family-activity directories, venue/partner pages and tournament references.</t>
  </si>
  <si>
    <t>Top 10 branded results show consistent identity</t>
  </si>
  <si>
    <t>4 — Measure</t>
  </si>
  <si>
    <t>Days 1–90</t>
  </si>
  <si>
    <t>Track 15 buyer questions and conversion sources.</t>
  </si>
  <si>
    <t>Monthly prompt, traffic, trial and paid-registration report.</t>
  </si>
  <si>
    <t>Monitoring tool and lead-source field</t>
  </si>
  <si>
    <t>Visibility and conversion baseline established</t>
  </si>
  <si>
    <t>4 — Review</t>
  </si>
  <si>
    <t>Day 90</t>
  </si>
  <si>
    <t>Decide whether to continue, expand or use a managed platform.</t>
  </si>
  <si>
    <t>90-day decision memo based on citations, enquiries, trials and registrations.</t>
  </si>
  <si>
    <t>Three months of data</t>
  </si>
  <si>
    <t>Decision based on revenue impact, not visibility score alone</t>
  </si>
  <si>
    <t>AI &amp; Search Monitoring Prompts</t>
  </si>
  <si>
    <t>Record platform results consistently each month. Use Yes, No or Not Checked and retain evidence links/screenshots.</t>
  </si>
  <si>
    <t>Prompt ID</t>
  </si>
  <si>
    <t>Buyer Question</t>
  </si>
  <si>
    <t>Primary Area</t>
  </si>
  <si>
    <t>Service / Audience</t>
  </si>
  <si>
    <t>ChatGPT</t>
  </si>
  <si>
    <t>Gemini</t>
  </si>
  <si>
    <t>Perplexity</t>
  </si>
  <si>
    <t>Copilot</t>
  </si>
  <si>
    <t>Coverage</t>
  </si>
  <si>
    <t>Evidence / Notes</t>
  </si>
  <si>
    <t>P-001</t>
  </si>
  <si>
    <t>What is the best football academy for children in Al Nahda, Dubai?</t>
  </si>
  <si>
    <t>Al Nahda</t>
  </si>
  <si>
    <t>Kids</t>
  </si>
  <si>
    <t>Not Checked</t>
  </si>
  <si>
    <t>Not measured</t>
  </si>
  <si>
    <t>P-002</t>
  </si>
  <si>
    <t>Which football academies are near Stadium Metro Station?</t>
  </si>
  <si>
    <t>Local access</t>
  </si>
  <si>
    <t>P-003</t>
  </si>
  <si>
    <t>Where can I book a free football trial for my child in Al Nahda?</t>
  </si>
  <si>
    <t>Free trial</t>
  </si>
  <si>
    <t>P-004</t>
  </si>
  <si>
    <t>What is the best kids football academy in Al Warqa, Dubai?</t>
  </si>
  <si>
    <t>Al Warqa</t>
  </si>
  <si>
    <t>P-005</t>
  </si>
  <si>
    <t>Which football academies near Mirdif offer a free trial?</t>
  </si>
  <si>
    <t>Al Warqa / Mirdif</t>
  </si>
  <si>
    <t>P-006</t>
  </si>
  <si>
    <t>Football training for a three-year-old near Al Nahda</t>
  </si>
  <si>
    <t>Pre-U6</t>
  </si>
  <si>
    <t>P-007</t>
  </si>
  <si>
    <t>Affordable football academy for children in Dubai</t>
  </si>
  <si>
    <t>Dubai</t>
  </si>
  <si>
    <t>Kids / price</t>
  </si>
  <si>
    <t>P-008</t>
  </si>
  <si>
    <t>Football academy with licensed coaches in Dubai</t>
  </si>
  <si>
    <t>Trust</t>
  </si>
  <si>
    <t>P-009</t>
  </si>
  <si>
    <t>Football academy with small group training in Dubai</t>
  </si>
  <si>
    <t>Programme quality</t>
  </si>
  <si>
    <t>P-010</t>
  </si>
  <si>
    <t>Adult football coaching near Al Nahda, Dubai</t>
  </si>
  <si>
    <t>Adults</t>
  </si>
  <si>
    <t>P-011</t>
  </si>
  <si>
    <t>Personal one-to-one football coaching in Dubai</t>
  </si>
  <si>
    <t>Personal coaching</t>
  </si>
  <si>
    <t>P-012</t>
  </si>
  <si>
    <t>Football training for teenagers in Al Warqa</t>
  </si>
  <si>
    <t>U14+</t>
  </si>
  <si>
    <t>P-013</t>
  </si>
  <si>
    <t>Girls football academy near Al Warqa</t>
  </si>
  <si>
    <t>Girls</t>
  </si>
  <si>
    <t>Conditional</t>
  </si>
  <si>
    <t>Track only if programme is active.</t>
  </si>
  <si>
    <t>P-014</t>
  </si>
  <si>
    <t>Corporate football team training in Dubai</t>
  </si>
  <si>
    <t>Corporate</t>
  </si>
  <si>
    <t>P-015</t>
  </si>
  <si>
    <t>Football holiday camp for children in Dubai</t>
  </si>
  <si>
    <t>Seasonal camps</t>
  </si>
  <si>
    <t>Public Sources Reviewed</t>
  </si>
  <si>
    <t>URLs are included as plain text for auditability. Public information should be rechecked before publication.</t>
  </si>
  <si>
    <t>Source ID</t>
  </si>
  <si>
    <t>Source Type</t>
  </si>
  <si>
    <t>URL</t>
  </si>
  <si>
    <t>Evidence / Purpose</t>
  </si>
  <si>
    <t>Checked Date</t>
  </si>
  <si>
    <t>S-001</t>
  </si>
  <si>
    <t>Official website</t>
  </si>
  <si>
    <t>Homepage claims, programmes, locations, contacts, reviews and structured data</t>
  </si>
  <si>
    <t>S-002</t>
  </si>
  <si>
    <t>Academy history, active players, coach/licensing and review claims</t>
  </si>
  <si>
    <t>S-003</t>
  </si>
  <si>
    <t>Branch addresses, hours, parking, programme availability and contact information</t>
  </si>
  <si>
    <t>S-004</t>
  </si>
  <si>
    <t>Registration fields, accepted ages, programme list, locations and free-trial process</t>
  </si>
  <si>
    <t>S-005</t>
  </si>
  <si>
    <t>https://touchlinesport.ae/academy/u6/</t>
  </si>
  <si>
    <t>U6 age description and repeated programme-page content</t>
  </si>
  <si>
    <t>S-006</t>
  </si>
  <si>
    <t>Adult programme description and public search metadata</t>
  </si>
  <si>
    <t>S-007</t>
  </si>
  <si>
    <t>https://touchlinesport.ae/academy/girls-program/</t>
  </si>
  <si>
    <t>Girls programme positioning and age information</t>
  </si>
  <si>
    <t>S-008</t>
  </si>
  <si>
    <t>Technical</t>
  </si>
  <si>
    <t>https://touchlinesport.ae/robots.txt</t>
  </si>
  <si>
    <t>Crawler permissions</t>
  </si>
  <si>
    <t>S-009</t>
  </si>
  <si>
    <t>Indexed URL inventory and last-modified dates</t>
  </si>
  <si>
    <t>S-010</t>
  </si>
  <si>
    <t>Social profile</t>
  </si>
  <si>
    <t>https://www.instagram.com/touchline_academy/</t>
  </si>
  <si>
    <t>Public brand, phone and programme information</t>
  </si>
  <si>
    <t>S-011</t>
  </si>
  <si>
    <t>Directory</t>
  </si>
  <si>
    <t>https://tickikids.com/ae-du/touchline-sport-academy/</t>
  </si>
  <si>
    <t>Third-party phone, age, approval and programme information</t>
  </si>
  <si>
    <t>S-012</t>
  </si>
  <si>
    <t>https://kidshub.ae/academy/touchline-football-academy</t>
  </si>
  <si>
    <t>Third-party location, age and rating information</t>
  </si>
  <si>
    <t>S-013</t>
  </si>
  <si>
    <t>Professional profile</t>
  </si>
  <si>
    <t>https://www.linkedin.com/company/touchline-sport-academy</t>
  </si>
  <si>
    <t>Public brand naming and company description</t>
  </si>
  <si>
    <t>S-014</t>
  </si>
  <si>
    <t>Official technical guidance</t>
  </si>
  <si>
    <t>https://developers.openai.com/api/docs/bots</t>
  </si>
  <si>
    <t>OpenAI crawler names and OAI-SearchBot purpose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</si>
</sst>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dd mmm yyyy"/>
    <numFmt numFmtId="177" formatCode="0%"/>
    <numFmt numFmtId="178" formatCode="_ &quot;￥&quot;* #,##0.00_ ;_ &quot;￥&quot;* \-#,##0.00_ ;_ &quot;￥&quot;* &quot;-&quot;??_ ;_ @_ "/>
    <numFmt numFmtId="179" formatCode="_ &quot;￥&quot;* #,##0_ ;_ &quot;￥&quot;* \-#,##0_ ;_ &quot;￥&quot;* &quot;-&quot;_ ;_ @_ "/>
    <numFmt numFmtId="180" formatCode="_ * #,##0.00_ ;_ * -#,##0.00_ ;_ * &quot;-&quot;??_ ;_ @_ "/>
    <numFmt numFmtId="181" formatCode="_ * #,##0_ ;_ * -#,##0_ ;_ * &quot;-&quot;_ ;_ @_ "/>
  </numFmts>
  <fonts count="45" x14ac:knownFonts="45">
    <font>
      <sz val="11.0"/>
      <name val="Carlito"/>
      <family val="1"/>
    </font>
    <font>
      <sz val="11.0"/>
      <name val="Carlito"/>
      <family val="1"/>
    </font>
    <font>
      <sz val="20.0"/>
      <color rgb="FFFFFFFF"/>
      <name val="Carlito"/>
      <family val="1"/>
      <b/>
    </font>
    <font>
      <sz val="10.0"/>
      <color rgb="FF031324"/>
      <name val="Carlito"/>
      <family val="1"/>
      <i/>
    </font>
    <font>
      <sz val="11.0"/>
      <color rgb="FF031324"/>
      <name val="Carlito"/>
      <family val="1"/>
      <b/>
    </font>
    <font>
      <sz val="10.0"/>
      <color rgb="FFFFFFFF"/>
      <name val="Carlito"/>
      <family val="1"/>
      <b/>
    </font>
    <font>
      <sz val="13.0"/>
      <color rgb="FF031324"/>
      <name val="Carlito"/>
      <family val="1"/>
      <b/>
    </font>
    <font>
      <sz val="12.0"/>
      <color rgb="FFFFFFFF"/>
      <name val="Carlito"/>
      <family val="1"/>
      <b/>
    </font>
    <font>
      <sz val="11.0"/>
      <color rgb="FFFFFFFF"/>
      <name val="Carlito"/>
      <family val="1"/>
      <b/>
    </font>
    <font>
      <sz val="11.0"/>
      <color rgb="FF031324"/>
      <name val="Carlito"/>
      <family val="1"/>
      <b/>
    </font>
    <font>
      <sz val="20.0"/>
      <color rgb="FFFFFFFF"/>
      <name val="Aptos"/>
      <family val="1"/>
      <b/>
    </font>
    <font>
      <sz val="13.0"/>
      <color rgb="FF031324"/>
      <name val="Carlito"/>
      <family val="1"/>
      <b/>
    </font>
    <font>
      <sz val="11.0"/>
      <color rgb="FF475569"/>
      <name val="Carlito"/>
      <family val="1"/>
      <i/>
    </font>
    <font>
      <sz val="9.0"/>
      <color rgb="FF031324"/>
      <name val="Carlito"/>
      <family val="1"/>
    </font>
    <font>
      <sz val="9.0"/>
      <color rgb="FFFFFFFF"/>
      <name val="Aptos"/>
      <family val="1"/>
      <b/>
    </font>
    <font>
      <sz val="9.0"/>
      <color rgb="FF031324"/>
      <name val="Aptos"/>
      <family val="1"/>
    </font>
    <font>
      <sz val="9.0"/>
      <color rgb="FF031324"/>
      <name val="Aptos"/>
      <family val="1"/>
      <i/>
    </font>
    <font>
      <sz val="9.0"/>
      <name val="Aptos"/>
      <family val="1"/>
    </font>
    <font>
      <sz val="9.0"/>
      <color rgb="FF475569"/>
      <name val="Aptos"/>
      <family val="1"/>
      <i/>
    </font>
    <font>
      <sz val="20.0"/>
      <color rgb="FFFFFFFF"/>
      <name val="Aptos"/>
      <family val="1"/>
      <b/>
    </font>
    <font>
      <sz val="10.0"/>
      <color rgb="FF031324"/>
      <name val="Carlito"/>
      <family val="1"/>
      <i/>
    </font>
    <font>
      <sz val="12.0"/>
      <color rgb="FFFFFFFF"/>
      <name val="Carlito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color rgb="FFB91C1C"/>
      <name val="Carlito"/>
      <family val="1"/>
      <b/>
    </font>
    <font>
      <sz val="11.0"/>
      <color rgb="FFB45309"/>
      <name val="Carlito"/>
      <family val="1"/>
      <b/>
    </font>
    <font>
      <sz val="11.0"/>
      <color rgb="FF1D4ED8"/>
      <name val="Carlito"/>
      <family val="1"/>
      <b/>
    </font>
    <font>
      <sz val="11.0"/>
      <color rgb="FF475569"/>
      <name val="Carlito"/>
      <family val="1"/>
    </font>
    <font>
      <sz val="11.0"/>
      <color rgb="FF15803D"/>
      <name val="Carlito"/>
      <family val="1"/>
      <b/>
    </font>
    <font>
      <sz val="11.0"/>
      <name val="Carlito"/>
      <family val="1"/>
    </font>
  </fonts>
  <fills count="44">
    <fill>
      <patternFill patternType="none"/>
    </fill>
    <fill>
      <patternFill patternType="gray125"/>
    </fill>
    <fill>
      <patternFill patternType="solid">
        <fgColor rgb="FF06203D"/>
        <bgColor indexed="64"/>
      </patternFill>
    </fill>
    <fill>
      <patternFill patternType="solid">
        <fgColor rgb="FFE8F1F8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031324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FFF7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DBEAFE"/>
        <bgColor indexed="64"/>
      </patternFill>
    </fill>
  </fills>
  <borders count="122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F59E0B"/>
      </left>
      <right/>
      <top style="medium">
        <color rgb="FFF59E0B"/>
      </top>
      <bottom/>
      <diagonal/>
    </border>
    <border>
      <left/>
      <right/>
      <top style="medium">
        <color rgb="FFF59E0B"/>
      </top>
      <bottom/>
      <diagonal/>
    </border>
    <border>
      <left/>
      <right style="medium">
        <color rgb="FFF59E0B"/>
      </right>
      <top style="medium">
        <color rgb="FFF59E0B"/>
      </top>
      <bottom/>
      <diagonal/>
    </border>
    <border>
      <left style="medium">
        <color rgb="FFF59E0B"/>
      </left>
      <right/>
      <top/>
      <bottom/>
      <diagonal/>
    </border>
    <border>
      <left/>
      <right style="medium">
        <color rgb="FFF59E0B"/>
      </right>
      <top/>
      <bottom/>
      <diagonal/>
    </border>
    <border>
      <left style="medium">
        <color rgb="FFF59E0B"/>
      </left>
      <right/>
      <top/>
      <bottom style="medium">
        <color rgb="FFF59E0B"/>
      </bottom>
      <diagonal/>
    </border>
    <border>
      <left/>
      <right/>
      <top/>
      <bottom style="medium">
        <color rgb="FFF59E0B"/>
      </bottom>
      <diagonal/>
    </border>
    <border>
      <left/>
      <right style="medium">
        <color rgb="FFF59E0B"/>
      </right>
      <top/>
      <bottom style="medium">
        <color rgb="FFF59E0B"/>
      </bottom>
      <diagonal/>
    </border>
    <border>
      <left style="medium">
        <color rgb="FFF59E0B"/>
      </left>
      <right/>
      <top style="medium">
        <color rgb="FFF59E0B"/>
      </top>
      <bottom/>
      <diagonal/>
    </border>
    <border>
      <left/>
      <right/>
      <top style="medium">
        <color rgb="FFF59E0B"/>
      </top>
      <bottom/>
      <diagonal/>
    </border>
    <border>
      <left/>
      <right style="medium">
        <color rgb="FFF59E0B"/>
      </right>
      <top style="medium">
        <color rgb="FFF59E0B"/>
      </top>
      <bottom/>
      <diagonal/>
    </border>
    <border>
      <left style="medium">
        <color rgb="FFF59E0B"/>
      </left>
      <right/>
      <top/>
      <bottom/>
      <diagonal/>
    </border>
    <border>
      <left/>
      <right style="medium">
        <color rgb="FFF59E0B"/>
      </right>
      <top/>
      <bottom/>
      <diagonal/>
    </border>
    <border>
      <left style="medium">
        <color rgb="FFF59E0B"/>
      </left>
      <right/>
      <top/>
      <bottom style="medium">
        <color rgb="FFF59E0B"/>
      </bottom>
      <diagonal/>
    </border>
    <border>
      <left/>
      <right/>
      <top/>
      <bottom style="medium">
        <color rgb="FFF59E0B"/>
      </bottom>
      <diagonal/>
    </border>
    <border>
      <left/>
      <right style="medium">
        <color rgb="FFF59E0B"/>
      </right>
      <top/>
      <bottom style="medium">
        <color rgb="FFF59E0B"/>
      </bottom>
      <diagonal/>
    </border>
    <border>
      <left style="medium">
        <color rgb="FFF59E0B"/>
      </left>
      <right/>
      <top style="medium">
        <color rgb="FFF59E0B"/>
      </top>
      <bottom/>
      <diagonal/>
    </border>
    <border>
      <left/>
      <right/>
      <top style="medium">
        <color rgb="FFF59E0B"/>
      </top>
      <bottom/>
      <diagonal/>
    </border>
    <border>
      <left/>
      <right style="medium">
        <color rgb="FFF59E0B"/>
      </right>
      <top style="medium">
        <color rgb="FFF59E0B"/>
      </top>
      <bottom/>
      <diagonal/>
    </border>
    <border>
      <left style="medium">
        <color rgb="FFF59E0B"/>
      </left>
      <right/>
      <top/>
      <bottom/>
      <diagonal/>
    </border>
    <border>
      <left/>
      <right style="medium">
        <color rgb="FFF59E0B"/>
      </right>
      <top/>
      <bottom/>
      <diagonal/>
    </border>
    <border>
      <left style="medium">
        <color rgb="FFF59E0B"/>
      </left>
      <right/>
      <top/>
      <bottom style="medium">
        <color rgb="FFF59E0B"/>
      </bottom>
      <diagonal/>
    </border>
    <border>
      <left/>
      <right/>
      <top/>
      <bottom style="medium">
        <color rgb="FFF59E0B"/>
      </bottom>
      <diagonal/>
    </border>
    <border>
      <left/>
      <right style="medium">
        <color rgb="FFF59E0B"/>
      </right>
      <top/>
      <bottom style="medium">
        <color rgb="FFF59E0B"/>
      </bottom>
      <diagonal/>
    </border>
    <border>
      <left style="medium">
        <color rgb="FFF59E0B"/>
      </left>
      <right/>
      <top style="medium">
        <color rgb="FFF59E0B"/>
      </top>
      <bottom/>
      <diagonal/>
    </border>
    <border>
      <left/>
      <right/>
      <top style="medium">
        <color rgb="FFF59E0B"/>
      </top>
      <bottom/>
      <diagonal/>
    </border>
    <border>
      <left/>
      <right style="medium">
        <color rgb="FFF59E0B"/>
      </right>
      <top style="medium">
        <color rgb="FFF59E0B"/>
      </top>
      <bottom/>
      <diagonal/>
    </border>
    <border>
      <left style="medium">
        <color rgb="FFF59E0B"/>
      </left>
      <right/>
      <top/>
      <bottom/>
      <diagonal/>
    </border>
    <border>
      <left/>
      <right style="medium">
        <color rgb="FFF59E0B"/>
      </right>
      <top/>
      <bottom/>
      <diagonal/>
    </border>
    <border>
      <left style="medium">
        <color rgb="FFF59E0B"/>
      </left>
      <right/>
      <top/>
      <bottom style="medium">
        <color rgb="FFF59E0B"/>
      </bottom>
      <diagonal/>
    </border>
    <border>
      <left/>
      <right/>
      <top/>
      <bottom style="medium">
        <color rgb="FFF59E0B"/>
      </bottom>
      <diagonal/>
    </border>
    <border>
      <left/>
      <right style="medium">
        <color rgb="FFF59E0B"/>
      </right>
      <top/>
      <bottom style="medium">
        <color rgb="FFF59E0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CBD5E1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CBD5E1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CBD5E1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CBD5E1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 style="thin">
        <color rgb="FFE2E8F0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CBD5E1"/>
      </bottom>
      <diagonal/>
    </border>
    <border>
      <left/>
      <right/>
      <top style="thin">
        <color rgb="FFE2E8F0"/>
      </top>
      <bottom style="thin">
        <color rgb="FFCBD5E1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CBD5E1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CBD5E1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CBD5E1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CBD5E1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CBD5E1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medium">
        <color rgb="FFF59E0B"/>
      </right>
      <top/>
      <bottom style="medium">
        <color rgb="FFF59E0B"/>
      </bottom>
      <diagonal/>
    </border>
    <border>
      <left/>
      <right/>
      <top/>
      <bottom style="medium">
        <color rgb="FFF59E0B"/>
      </bottom>
      <diagonal/>
    </border>
    <border>
      <left style="medium">
        <color rgb="FFF59E0B"/>
      </left>
      <right/>
      <top/>
      <bottom style="medium">
        <color rgb="FFF59E0B"/>
      </bottom>
      <diagonal/>
    </border>
    <border>
      <left/>
      <right style="medium">
        <color rgb="FFF59E0B"/>
      </right>
      <top/>
      <bottom/>
      <diagonal/>
    </border>
    <border>
      <left style="medium">
        <color rgb="FFF59E0B"/>
      </left>
      <right/>
      <top/>
      <bottom/>
      <diagonal/>
    </border>
    <border>
      <left/>
      <right style="medium">
        <color rgb="FFF59E0B"/>
      </right>
      <top style="medium">
        <color rgb="FFF59E0B"/>
      </top>
      <bottom/>
      <diagonal/>
    </border>
    <border>
      <left/>
      <right/>
      <top style="medium">
        <color rgb="FFF59E0B"/>
      </top>
      <bottom/>
      <diagonal/>
    </border>
    <border>
      <left style="medium">
        <color rgb="FFF59E0B"/>
      </left>
      <right/>
      <top style="medium">
        <color rgb="FFF59E0B"/>
      </top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220">
    <xf numFmtId="0" fontId="0" fillId="0" borderId="0" applyAlignment="1" xfId="0"/>
    <xf numFmtId="0" fontId="1" applyFont="1" fillId="0" borderId="0" applyAlignment="1" xfId="0"/>
    <xf numFmtId="0" fontId="1" applyFont="1" fillId="2" applyFill="1" borderId="0" applyAlignment="1" xfId="0"/>
    <xf numFmtId="0" fontId="2" applyFont="1" fillId="2" applyFill="1" borderId="0" applyAlignment="1" xfId="0"/>
    <xf numFmtId="0" fontId="2" applyFont="1" fillId="2" applyFill="1" borderId="0" applyAlignment="1" xfId="0">
      <alignment horizontal="left"/>
    </xf>
    <xf numFmtId="0" fontId="2" applyFont="1" fillId="2" applyFill="1" borderId="0" applyAlignment="1" xfId="0">
      <alignment horizontal="left" vertical="center"/>
    </xf>
    <xf numFmtId="0" fontId="1" applyFont="1" fillId="3" applyFill="1" borderId="0" applyAlignment="1" xfId="0"/>
    <xf numFmtId="0" fontId="3" applyFont="1" fillId="3" applyFill="1" borderId="0" applyAlignment="1" xfId="0"/>
    <xf numFmtId="0" fontId="3" applyFont="1" fillId="3" applyFill="1" borderId="0" applyAlignment="1" xfId="0">
      <alignment horizontal="left"/>
    </xf>
    <xf numFmtId="0" fontId="3" applyFont="1" fillId="3" applyFill="1" borderId="0" applyAlignment="1" xfId="0">
      <alignment horizontal="left" vertical="center"/>
    </xf>
    <xf numFmtId="0" fontId="1" applyFont="1" fillId="4" applyFill="1" borderId="0" applyAlignment="1" xfId="0"/>
    <xf numFmtId="0" fontId="4" applyFont="1" fillId="4" applyFill="1" borderId="0" applyAlignment="1" xfId="0"/>
    <xf numFmtId="0" fontId="4" applyFont="1" fillId="4" applyFill="1" borderId="1" applyBorder="1" applyAlignment="1" xfId="0"/>
    <xf numFmtId="0" fontId="4" applyFont="1" fillId="4" applyFill="1" borderId="2" applyBorder="1" applyAlignment="1" xfId="0"/>
    <xf numFmtId="176" applyNumberFormat="1" fontId="4" applyFont="1" fillId="4" applyFill="1" borderId="3" applyBorder="1" applyAlignment="1" xfId="0"/>
    <xf numFmtId="0" fontId="5" applyFont="1" fillId="2" applyFill="1" borderId="0" applyAlignment="1" xfId="0"/>
    <xf numFmtId="0" fontId="5" applyFont="1" fillId="2" applyFill="1" borderId="4" applyBorder="1" applyAlignment="1" xfId="0"/>
    <xf numFmtId="0" fontId="5" applyFont="1" fillId="2" applyFill="1" borderId="5" applyBorder="1" applyAlignment="1" xfId="0">
      <alignment wrapText="1"/>
    </xf>
    <xf numFmtId="0" fontId="5" applyFont="1" fillId="2" applyFill="1" borderId="6" applyBorder="1" applyAlignment="1" xfId="0">
      <alignment horizontal="center" wrapText="1"/>
    </xf>
    <xf numFmtId="0" fontId="5" applyFont="1" fillId="2" applyFill="1" borderId="7" applyBorder="1" applyAlignment="1" xfId="0">
      <alignment horizontal="center" vertical="center" wrapText="1"/>
    </xf>
    <xf numFmtId="0" fontId="1" applyFont="1" fillId="5" applyFill="1" borderId="0" applyAlignment="1" xfId="0"/>
    <xf numFmtId="0" fontId="6" applyFont="1" fillId="5" applyFill="1" borderId="0" applyAlignment="1" xfId="0"/>
    <xf numFmtId="0" fontId="6" applyFont="1" fillId="5" applyFill="1" borderId="8" applyBorder="1" applyAlignment="1" xfId="0"/>
    <xf numFmtId="0" fontId="6" applyFont="1" fillId="5" applyFill="1" borderId="9" applyBorder="1" applyAlignment="1" xfId="0">
      <alignment horizontal="center"/>
    </xf>
    <xf numFmtId="0" fontId="6" applyFont="1" fillId="5" applyFill="1" borderId="10" applyBorder="1" applyAlignment="1" xfId="0">
      <alignment horizontal="center" vertical="center"/>
    </xf>
    <xf numFmtId="177" applyNumberFormat="1" fontId="6" applyFont="1" fillId="5" applyFill="1" borderId="11" applyBorder="1" applyAlignment="1" xfId="0">
      <alignment horizontal="center" vertical="center"/>
    </xf>
    <xf numFmtId="0" fontId="6" applyFont="1" fillId="6" applyFill="1" borderId="12" applyBorder="1" applyAlignment="1" xfId="0">
      <alignment horizontal="center" vertical="center"/>
    </xf>
    <xf numFmtId="0" fontId="6" applyFont="1" fillId="7" applyFill="1" borderId="13" applyBorder="1" applyAlignment="1" xfId="0">
      <alignment horizontal="center" vertical="center"/>
    </xf>
    <xf numFmtId="0" fontId="6" applyFont="1" fillId="8" applyFill="1" borderId="14" applyBorder="1" applyAlignment="1" xfId="0">
      <alignment horizontal="center" vertical="center"/>
    </xf>
    <xf numFmtId="177" applyNumberFormat="1" fontId="6" applyFont="1" fillId="8" applyFill="1" borderId="15" applyBorder="1" applyAlignment="1" xfId="0">
      <alignment horizontal="center" vertical="center"/>
    </xf>
    <xf numFmtId="0" fontId="1" applyFont="1" fillId="9" applyFill="1" borderId="0" applyAlignment="1" xfId="0"/>
    <xf numFmtId="0" fontId="7" applyFont="1" fillId="9" applyFill="1" borderId="0" applyAlignment="1" xfId="0"/>
    <xf numFmtId="0" fontId="7" applyFont="1" fillId="9" applyFill="1" borderId="0" applyAlignment="1" xfId="0">
      <alignment horizontal="left"/>
    </xf>
    <xf numFmtId="0" fontId="7" applyFont="1" fillId="9" applyFill="1" borderId="0" applyAlignment="1" xfId="0">
      <alignment horizontal="left" vertical="center"/>
    </xf>
    <xf numFmtId="0" fontId="1" applyFont="1" fillId="10" applyFill="1" borderId="0" applyAlignment="1" xfId="0"/>
    <xf numFmtId="0" fontId="8" applyFont="1" fillId="10" applyFill="1" borderId="0" applyAlignment="1" xfId="0"/>
    <xf numFmtId="0" fontId="8" applyFont="1" fillId="10" applyFill="1" borderId="0" applyAlignment="1" xfId="0">
      <alignment horizontal="center"/>
    </xf>
    <xf numFmtId="0" fontId="8" applyFont="1" fillId="10" applyFill="1" borderId="0" applyAlignment="1" xfId="0">
      <alignment horizontal="center" vertical="center"/>
    </xf>
    <xf numFmtId="0" fontId="4" applyFont="1" fillId="3" applyFill="1" borderId="0" applyAlignment="1" xfId="0"/>
    <xf numFmtId="0" fontId="4" applyFont="1" fillId="3" applyFill="1" borderId="0" applyAlignment="1" xfId="0">
      <alignment wrapText="1"/>
    </xf>
    <xf numFmtId="0" fontId="4" applyFont="1" fillId="3" applyFill="1" borderId="0" applyAlignment="1" xfId="0">
      <alignment vertical="top" wrapText="1"/>
    </xf>
    <xf numFmtId="0" fontId="8" applyFont="1" fillId="10" applyFill="1" borderId="16" applyBorder="1" applyAlignment="1" xfId="0">
      <alignment horizontal="center" vertical="center"/>
    </xf>
    <xf numFmtId="0" fontId="9" applyFont="1" fillId="3" applyFill="1" borderId="17" applyBorder="1" applyAlignment="1" xfId="0">
      <alignment vertical="top" wrapText="1"/>
    </xf>
    <xf numFmtId="0" fontId="1" applyFont="1" fillId="0" borderId="18" applyBorder="1" applyAlignment="1" xfId="0"/>
    <xf numFmtId="0" fontId="8" applyFont="1" fillId="10" applyFill="1" borderId="19" applyBorder="1" applyAlignment="1" xfId="0">
      <alignment horizontal="center" vertical="center" wrapText="1"/>
    </xf>
    <xf numFmtId="0" fontId="1" applyFont="1" fillId="0" borderId="20" applyBorder="1" applyAlignment="1" xfId="0">
      <alignment wrapText="1"/>
    </xf>
    <xf numFmtId="0" fontId="1" applyFont="1" fillId="7" applyFill="1" borderId="0" applyAlignment="1" xfId="0"/>
    <xf numFmtId="0" fontId="4" applyFont="1" fillId="7" applyFill="1" borderId="0" applyAlignment="1" xfId="0"/>
    <xf numFmtId="0" fontId="4" applyFont="1" fillId="7" applyFill="1" borderId="21" applyBorder="1" applyAlignment="1" xfId="0"/>
    <xf numFmtId="0" fontId="4" applyFont="1" fillId="7" applyFill="1" borderId="22" applyBorder="1" applyAlignment="1" xfId="0"/>
    <xf numFmtId="0" fontId="4" applyFont="1" fillId="7" applyFill="1" borderId="23" applyBorder="1" applyAlignment="1" xfId="0"/>
    <xf numFmtId="0" fontId="4" applyFont="1" fillId="7" applyFill="1" borderId="24" applyBorder="1" applyAlignment="1" xfId="0"/>
    <xf numFmtId="0" fontId="4" applyFont="1" fillId="7" applyFill="1" borderId="25" applyBorder="1" applyAlignment="1" xfId="0"/>
    <xf numFmtId="0" fontId="4" applyFont="1" fillId="7" applyFill="1" borderId="26" applyBorder="1" applyAlignment="1" xfId="0"/>
    <xf numFmtId="0" fontId="4" applyFont="1" fillId="7" applyFill="1" borderId="27" applyBorder="1" applyAlignment="1" xfId="0"/>
    <xf numFmtId="0" fontId="4" applyFont="1" fillId="7" applyFill="1" borderId="28" applyBorder="1" applyAlignment="1" xfId="0"/>
    <xf numFmtId="0" fontId="4" applyFont="1" fillId="7" applyFill="1" borderId="29" applyBorder="1" applyAlignment="1" xfId="0">
      <alignment wrapText="1"/>
    </xf>
    <xf numFmtId="0" fontId="4" applyFont="1" fillId="7" applyFill="1" borderId="30" applyBorder="1" applyAlignment="1" xfId="0">
      <alignment wrapText="1"/>
    </xf>
    <xf numFmtId="0" fontId="4" applyFont="1" fillId="7" applyFill="1" borderId="31" applyBorder="1" applyAlignment="1" xfId="0">
      <alignment wrapText="1"/>
    </xf>
    <xf numFmtId="0" fontId="4" applyFont="1" fillId="7" applyFill="1" borderId="32" applyBorder="1" applyAlignment="1" xfId="0">
      <alignment wrapText="1"/>
    </xf>
    <xf numFmtId="0" fontId="4" applyFont="1" fillId="7" applyFill="1" borderId="0" applyAlignment="1" xfId="0">
      <alignment wrapText="1"/>
    </xf>
    <xf numFmtId="0" fontId="4" applyFont="1" fillId="7" applyFill="1" borderId="33" applyBorder="1" applyAlignment="1" xfId="0">
      <alignment wrapText="1"/>
    </xf>
    <xf numFmtId="0" fontId="4" applyFont="1" fillId="7" applyFill="1" borderId="34" applyBorder="1" applyAlignment="1" xfId="0">
      <alignment wrapText="1"/>
    </xf>
    <xf numFmtId="0" fontId="4" applyFont="1" fillId="7" applyFill="1" borderId="35" applyBorder="1" applyAlignment="1" xfId="0">
      <alignment wrapText="1"/>
    </xf>
    <xf numFmtId="0" fontId="4" applyFont="1" fillId="7" applyFill="1" borderId="36" applyBorder="1" applyAlignment="1" xfId="0">
      <alignment wrapText="1"/>
    </xf>
    <xf numFmtId="0" fontId="4" applyFont="1" fillId="7" applyFill="1" borderId="37" applyBorder="1" applyAlignment="1" xfId="0">
      <alignment horizontal="left" wrapText="1"/>
    </xf>
    <xf numFmtId="0" fontId="4" applyFont="1" fillId="7" applyFill="1" borderId="38" applyBorder="1" applyAlignment="1" xfId="0">
      <alignment horizontal="left" wrapText="1"/>
    </xf>
    <xf numFmtId="0" fontId="4" applyFont="1" fillId="7" applyFill="1" borderId="39" applyBorder="1" applyAlignment="1" xfId="0">
      <alignment horizontal="left" wrapText="1"/>
    </xf>
    <xf numFmtId="0" fontId="4" applyFont="1" fillId="7" applyFill="1" borderId="40" applyBorder="1" applyAlignment="1" xfId="0">
      <alignment horizontal="left" wrapText="1"/>
    </xf>
    <xf numFmtId="0" fontId="4" applyFont="1" fillId="7" applyFill="1" borderId="0" applyAlignment="1" xfId="0">
      <alignment horizontal="left" wrapText="1"/>
    </xf>
    <xf numFmtId="0" fontId="4" applyFont="1" fillId="7" applyFill="1" borderId="41" applyBorder="1" applyAlignment="1" xfId="0">
      <alignment horizontal="left" wrapText="1"/>
    </xf>
    <xf numFmtId="0" fontId="4" applyFont="1" fillId="7" applyFill="1" borderId="42" applyBorder="1" applyAlignment="1" xfId="0">
      <alignment horizontal="left" wrapText="1"/>
    </xf>
    <xf numFmtId="0" fontId="4" applyFont="1" fillId="7" applyFill="1" borderId="43" applyBorder="1" applyAlignment="1" xfId="0">
      <alignment horizontal="left" wrapText="1"/>
    </xf>
    <xf numFmtId="0" fontId="4" applyFont="1" fillId="7" applyFill="1" borderId="44" applyBorder="1" applyAlignment="1" xfId="0">
      <alignment horizontal="left" wrapText="1"/>
    </xf>
    <xf numFmtId="0" fontId="4" applyFont="1" fillId="7" applyFill="1" borderId="45" applyBorder="1" applyAlignment="1" xfId="0">
      <alignment horizontal="left" vertical="center" wrapText="1"/>
    </xf>
    <xf numFmtId="0" fontId="4" applyFont="1" fillId="7" applyFill="1" borderId="46" applyBorder="1" applyAlignment="1" xfId="0">
      <alignment horizontal="left" vertical="center" wrapText="1"/>
    </xf>
    <xf numFmtId="0" fontId="4" applyFont="1" fillId="7" applyFill="1" borderId="47" applyBorder="1" applyAlignment="1" xfId="0">
      <alignment horizontal="left" vertical="center" wrapText="1"/>
    </xf>
    <xf numFmtId="0" fontId="4" applyFont="1" fillId="7" applyFill="1" borderId="48" applyBorder="1" applyAlignment="1" xfId="0">
      <alignment horizontal="left" vertical="center" wrapText="1"/>
    </xf>
    <xf numFmtId="0" fontId="4" applyFont="1" fillId="7" applyFill="1" borderId="0" applyAlignment="1" xfId="0">
      <alignment horizontal="left" vertical="center" wrapText="1"/>
    </xf>
    <xf numFmtId="0" fontId="4" applyFont="1" fillId="7" applyFill="1" borderId="49" applyBorder="1" applyAlignment="1" xfId="0">
      <alignment horizontal="left" vertical="center" wrapText="1"/>
    </xf>
    <xf numFmtId="0" fontId="4" applyFont="1" fillId="7" applyFill="1" borderId="50" applyBorder="1" applyAlignment="1" xfId="0">
      <alignment horizontal="left" vertical="center" wrapText="1"/>
    </xf>
    <xf numFmtId="0" fontId="4" applyFont="1" fillId="7" applyFill="1" borderId="51" applyBorder="1" applyAlignment="1" xfId="0">
      <alignment horizontal="left" vertical="center" wrapText="1"/>
    </xf>
    <xf numFmtId="0" fontId="4" applyFont="1" fillId="7" applyFill="1" borderId="52" applyBorder="1" applyAlignment="1" xfId="0">
      <alignment horizontal="left" vertical="center" wrapText="1"/>
    </xf>
    <xf numFmtId="0" fontId="1" applyFont="1" fillId="0" borderId="53" applyBorder="1" applyAlignment="1" xfId="0">
      <alignment vertical="top" wrapText="1"/>
    </xf>
    <xf numFmtId="0" fontId="1" applyFont="1" fillId="3" applyFill="1" borderId="54" applyBorder="1" applyAlignment="1" xfId="0">
      <alignment vertical="top" wrapText="1"/>
    </xf>
    <xf numFmtId="0" fontId="10" applyFont="1" fillId="2" applyFill="1" borderId="0" applyAlignment="1" xfId="0">
      <alignment horizontal="left" vertical="center"/>
    </xf>
    <xf numFmtId="0" fontId="10" applyFont="1" fillId="2" applyFill="1" borderId="0" applyAlignment="1" xfId="0">
      <alignment horizontal="left" vertical="center" wrapText="1"/>
    </xf>
    <xf numFmtId="0" fontId="3" applyFont="1" fillId="3" applyFill="1" borderId="0" applyAlignment="1" xfId="0">
      <alignment horizontal="left" vertical="center" wrapText="1"/>
    </xf>
    <xf numFmtId="0" fontId="0" fillId="0" borderId="0" applyAlignment="1" xfId="0">
      <alignment wrapText="1"/>
    </xf>
    <xf numFmtId="0" fontId="9" applyFont="1" fillId="4" applyFill="1" borderId="55" applyBorder="1" applyAlignment="1" xfId="0">
      <alignment wrapText="1"/>
    </xf>
    <xf numFmtId="176" applyNumberFormat="1" fontId="9" applyFont="1" fillId="4" applyFill="1" borderId="56" applyBorder="1" applyAlignment="1" xfId="0">
      <alignment wrapText="1"/>
    </xf>
    <xf numFmtId="0" fontId="11" applyFont="1" fillId="5" applyFill="1" borderId="57" applyBorder="1" applyAlignment="1" xfId="0">
      <alignment horizontal="center" vertical="center" wrapText="1"/>
    </xf>
    <xf numFmtId="0" fontId="11" applyFont="1" fillId="6" applyFill="1" borderId="58" applyBorder="1" applyAlignment="1" xfId="0">
      <alignment horizontal="center" vertical="center" wrapText="1"/>
    </xf>
    <xf numFmtId="0" fontId="11" applyFont="1" fillId="7" applyFill="1" borderId="59" applyBorder="1" applyAlignment="1" xfId="0">
      <alignment horizontal="center" vertical="center" wrapText="1"/>
    </xf>
    <xf numFmtId="0" fontId="11" applyFont="1" fillId="8" applyFill="1" borderId="60" applyBorder="1" applyAlignment="1" xfId="0">
      <alignment horizontal="center" vertical="center" wrapText="1"/>
    </xf>
    <xf numFmtId="177" applyNumberFormat="1" fontId="11" applyFont="1" fillId="8" applyFill="1" borderId="61" applyBorder="1" applyAlignment="1" xfId="0">
      <alignment horizontal="center" vertical="center" wrapText="1"/>
    </xf>
    <xf numFmtId="0" fontId="7" applyFont="1" fillId="9" applyFill="1" borderId="0" applyAlignment="1" xfId="0">
      <alignment horizontal="left" vertical="center" wrapText="1"/>
    </xf>
    <xf numFmtId="0" fontId="12" applyFont="1" fillId="4" applyFill="1" borderId="0" applyAlignment="1" xfId="0"/>
    <xf numFmtId="0" fontId="12" applyFont="1" fillId="4" applyFill="1" borderId="0" applyAlignment="1" xfId="0">
      <alignment vertical="center"/>
    </xf>
    <xf numFmtId="0" fontId="13" applyFont="1" fillId="0" borderId="0" applyAlignment="1" xfId="0"/>
    <xf numFmtId="0" fontId="13" applyFont="1" fillId="0" borderId="62" applyBorder="1" applyAlignment="1" xfId="0"/>
    <xf numFmtId="0" fontId="13" applyFont="1" fillId="0" borderId="63" applyBorder="1" applyAlignment="1" xfId="0"/>
    <xf numFmtId="0" fontId="13" applyFont="1" fillId="0" borderId="64" applyBorder="1" applyAlignment="1" xfId="0"/>
    <xf numFmtId="0" fontId="13" applyFont="1" fillId="0" borderId="65" applyBorder="1" applyAlignment="1" xfId="0">
      <alignment wrapText="1"/>
    </xf>
    <xf numFmtId="0" fontId="13" applyFont="1" fillId="0" borderId="66" applyBorder="1" applyAlignment="1" xfId="0">
      <alignment wrapText="1"/>
    </xf>
    <xf numFmtId="0" fontId="13" applyFont="1" fillId="0" borderId="67" applyBorder="1" applyAlignment="1" xfId="0">
      <alignment wrapText="1"/>
    </xf>
    <xf numFmtId="0" fontId="13" applyFont="1" fillId="0" borderId="68" applyBorder="1" applyAlignment="1" xfId="0">
      <alignment horizontal="left" wrapText="1"/>
    </xf>
    <xf numFmtId="0" fontId="13" applyFont="1" fillId="0" borderId="69" applyBorder="1" applyAlignment="1" xfId="0">
      <alignment horizontal="left" wrapText="1"/>
    </xf>
    <xf numFmtId="0" fontId="13" applyFont="1" fillId="0" borderId="70" applyBorder="1" applyAlignment="1" xfId="0">
      <alignment horizontal="left" wrapText="1"/>
    </xf>
    <xf numFmtId="0" fontId="13" applyFont="1" fillId="0" borderId="71" applyBorder="1" applyAlignment="1" xfId="0">
      <alignment horizontal="left" vertical="top" wrapText="1"/>
    </xf>
    <xf numFmtId="0" fontId="13" applyFont="1" fillId="0" borderId="72" applyBorder="1" applyAlignment="1" xfId="0">
      <alignment horizontal="left" vertical="top" wrapText="1"/>
    </xf>
    <xf numFmtId="0" fontId="13" applyFont="1" fillId="0" borderId="73" applyBorder="1" applyAlignment="1" xfId="0">
      <alignment horizontal="left" vertical="top" wrapText="1"/>
    </xf>
    <xf numFmtId="176" applyNumberFormat="1" fontId="13" applyFont="1" fillId="0" borderId="74" applyBorder="1" applyAlignment="1" xfId="0">
      <alignment horizontal="left" vertical="top" wrapText="1"/>
    </xf>
    <xf numFmtId="176" applyNumberFormat="1" fontId="13" applyFont="1" fillId="0" borderId="75" applyBorder="1" applyAlignment="1" xfId="0">
      <alignment horizontal="left" vertical="top" wrapText="1"/>
    </xf>
    <xf numFmtId="176" applyNumberFormat="1" fontId="13" applyFont="1" fillId="0" borderId="76" applyBorder="1" applyAlignment="1" xfId="0">
      <alignment horizontal="left" vertical="top" wrapText="1"/>
    </xf>
    <xf numFmtId="0" fontId="14" applyFont="1" fillId="2" applyFill="1" borderId="77" applyBorder="1" applyAlignment="1" xfId="0">
      <alignment horizontal="center" vertical="center" wrapText="1"/>
    </xf>
    <xf numFmtId="0" fontId="15" applyFont="1" fillId="0" borderId="78" applyBorder="1" applyAlignment="1" xfId="0">
      <alignment horizontal="left" vertical="top" wrapText="1"/>
    </xf>
    <xf numFmtId="176" applyNumberFormat="1" fontId="15" applyFont="1" fillId="0" borderId="79" applyBorder="1" applyAlignment="1" xfId="0">
      <alignment horizontal="left" vertical="top" wrapText="1"/>
    </xf>
    <xf numFmtId="0" fontId="15" applyFont="1" fillId="0" borderId="80" applyBorder="1" applyAlignment="1" xfId="0">
      <alignment horizontal="left" vertical="top" wrapText="1"/>
    </xf>
    <xf numFmtId="176" applyNumberFormat="1" fontId="15" applyFont="1" fillId="0" borderId="81" applyBorder="1" applyAlignment="1" xfId="0">
      <alignment horizontal="left" vertical="top" wrapText="1"/>
    </xf>
    <xf numFmtId="0" fontId="15" applyFont="1" fillId="0" borderId="82" applyBorder="1" applyAlignment="1" xfId="0">
      <alignment horizontal="left" vertical="top" wrapText="1"/>
    </xf>
    <xf numFmtId="176" applyNumberFormat="1" fontId="15" applyFont="1" fillId="0" borderId="83" applyBorder="1" applyAlignment="1" xfId="0">
      <alignment horizontal="left" vertical="top" wrapText="1"/>
    </xf>
    <xf numFmtId="0" fontId="15" applyFont="1" fillId="0" borderId="84" applyBorder="1" applyAlignment="1" xfId="0">
      <alignment horizontal="center" vertical="top" wrapText="1"/>
    </xf>
    <xf numFmtId="0" fontId="15" applyFont="1" fillId="0" borderId="85" applyBorder="1" applyAlignment="1" xfId="0">
      <alignment horizontal="center" vertical="top" wrapText="1"/>
    </xf>
    <xf numFmtId="0" fontId="15" applyFont="1" fillId="0" borderId="86" applyBorder="1" applyAlignment="1" xfId="0">
      <alignment horizontal="center" vertical="top" wrapText="1"/>
    </xf>
    <xf numFmtId="176" applyNumberFormat="1" fontId="15" applyFont="1" fillId="0" borderId="87" applyBorder="1" applyAlignment="1" xfId="0">
      <alignment horizontal="center" vertical="top" wrapText="1"/>
    </xf>
    <xf numFmtId="176" applyNumberFormat="1" fontId="15" applyFont="1" fillId="0" borderId="88" applyBorder="1" applyAlignment="1" xfId="0">
      <alignment horizontal="center" vertical="top" wrapText="1"/>
    </xf>
    <xf numFmtId="176" applyNumberFormat="1" fontId="15" applyFont="1" fillId="0" borderId="89" applyBorder="1" applyAlignment="1" xfId="0">
      <alignment horizontal="center" vertical="top" wrapText="1"/>
    </xf>
    <xf numFmtId="0" fontId="13" applyFont="1" fillId="11" applyFill="1" borderId="90" applyBorder="1" applyAlignment="1" xfId="0">
      <alignment horizontal="left" vertical="top" wrapText="1"/>
    </xf>
    <xf numFmtId="0" fontId="13" applyFont="1" fillId="11" applyFill="1" borderId="91" applyBorder="1" applyAlignment="1" xfId="0">
      <alignment horizontal="left" vertical="top" wrapText="1"/>
    </xf>
    <xf numFmtId="0" fontId="13" applyFont="1" fillId="11" applyFill="1" borderId="92" applyBorder="1" applyAlignment="1" xfId="0">
      <alignment horizontal="left" vertical="top" wrapText="1"/>
    </xf>
    <xf numFmtId="177" applyNumberFormat="1" fontId="13" applyFont="1" fillId="0" borderId="93" applyBorder="1" applyAlignment="1" xfId="0">
      <alignment horizontal="left" vertical="top" wrapText="1"/>
    </xf>
    <xf numFmtId="177" applyNumberFormat="1" fontId="13" applyFont="1" fillId="0" borderId="94" applyBorder="1" applyAlignment="1" xfId="0">
      <alignment horizontal="left" vertical="top" wrapText="1"/>
    </xf>
    <xf numFmtId="177" applyNumberFormat="1" fontId="13" applyFont="1" fillId="0" borderId="95" applyBorder="1" applyAlignment="1" xfId="0">
      <alignment horizontal="left" vertical="top" wrapText="1"/>
    </xf>
    <xf numFmtId="0" fontId="14" applyFont="1" fillId="2" applyFill="1" borderId="0" applyAlignment="1" xfId="0">
      <alignment horizontal="left" vertical="center"/>
    </xf>
    <xf numFmtId="0" fontId="16" applyFont="1" fillId="3" applyFill="1" borderId="0" applyAlignment="1" xfId="0">
      <alignment horizontal="left" vertical="center"/>
    </xf>
    <xf numFmtId="0" fontId="17" applyFont="1" fillId="0" borderId="0" applyAlignment="1" xfId="0"/>
    <xf numFmtId="0" fontId="18" applyFont="1" fillId="4" applyFill="1" borderId="0" applyAlignment="1" xfId="0">
      <alignment vertical="center"/>
    </xf>
    <xf numFmtId="0" fontId="15" applyFont="1" fillId="11" applyFill="1" borderId="96" applyBorder="1" applyAlignment="1" xfId="0">
      <alignment horizontal="left" vertical="top" wrapText="1"/>
    </xf>
    <xf numFmtId="0" fontId="15" applyFont="1" fillId="11" applyFill="1" borderId="97" applyBorder="1" applyAlignment="1" xfId="0">
      <alignment horizontal="left" vertical="top" wrapText="1"/>
    </xf>
    <xf numFmtId="0" fontId="15" applyFont="1" fillId="11" applyFill="1" borderId="98" applyBorder="1" applyAlignment="1" xfId="0">
      <alignment horizontal="left" vertical="top" wrapText="1"/>
    </xf>
    <xf numFmtId="177" applyNumberFormat="1" fontId="15" applyFont="1" fillId="0" borderId="99" applyBorder="1" applyAlignment="1" xfId="0">
      <alignment horizontal="left" vertical="top" wrapText="1"/>
    </xf>
    <xf numFmtId="177" applyNumberFormat="1" fontId="15" applyFont="1" fillId="0" borderId="100" applyBorder="1" applyAlignment="1" xfId="0">
      <alignment horizontal="left" vertical="top" wrapText="1"/>
    </xf>
    <xf numFmtId="177" applyNumberFormat="1" fontId="15" applyFont="1" fillId="0" borderId="101" applyBorder="1" applyAlignment="1" xfId="0">
      <alignment horizontal="left" vertical="top" wrapText="1"/>
    </xf>
    <xf numFmtId="0" fontId="1" applyFont="1" fillId="0" borderId="0" applyAlignment="1" xfId="0"/>
    <xf numFmtId="0" fontId="1" applyFont="1" fillId="0" borderId="0" applyAlignment="1" xfId="0"/>
    <xf numFmtId="0" fontId="19" applyFont="1" fillId="2" applyFill="1" borderId="0" applyAlignment="1" xfId="0">
      <alignment horizontal="left" vertical="center" wrapText="1"/>
    </xf>
    <xf numFmtId="0" fontId="20" applyFont="1" fillId="3" applyFill="1" borderId="0" applyAlignment="1" xfId="0">
      <alignment horizontal="left" vertical="center" wrapText="1"/>
    </xf>
    <xf numFmtId="0" fontId="21" applyFont="1" fillId="9" applyFill="1" borderId="0" applyAlignment="1" xfId="0">
      <alignment horizontal="left" vertical="center" wrapText="1"/>
    </xf>
    <xf numFmtId="0" fontId="0" fillId="0" borderId="102" applyBorder="1" applyAlignment="1" xfId="0">
      <alignment wrapText="1"/>
    </xf>
    <xf numFmtId="0" fontId="9" applyFont="1" fillId="7" applyFill="1" borderId="103" applyBorder="1" applyAlignment="1" xfId="0">
      <alignment horizontal="left" vertical="center" wrapText="1"/>
    </xf>
    <xf numFmtId="0" fontId="9" applyFont="1" fillId="7" applyFill="1" borderId="104" applyBorder="1" applyAlignment="1" xfId="0">
      <alignment horizontal="left" vertical="center" wrapText="1"/>
    </xf>
    <xf numFmtId="0" fontId="9" applyFont="1" fillId="7" applyFill="1" borderId="105" applyBorder="1" applyAlignment="1" xfId="0">
      <alignment horizontal="left" vertical="center" wrapText="1"/>
    </xf>
    <xf numFmtId="0" fontId="9" applyFont="1" fillId="7" applyFill="1" borderId="106" applyBorder="1" applyAlignment="1" xfId="0">
      <alignment horizontal="left" vertical="center" wrapText="1"/>
    </xf>
    <xf numFmtId="0" fontId="9" applyFont="1" fillId="7" applyFill="1" borderId="0" applyAlignment="1" xfId="0">
      <alignment horizontal="left" vertical="center" wrapText="1"/>
    </xf>
    <xf numFmtId="0" fontId="9" applyFont="1" fillId="7" applyFill="1" borderId="107" applyBorder="1" applyAlignment="1" xfId="0">
      <alignment horizontal="left" vertical="center" wrapText="1"/>
    </xf>
    <xf numFmtId="0" fontId="9" applyFont="1" fillId="7" applyFill="1" borderId="108" applyBorder="1" applyAlignment="1" xfId="0">
      <alignment horizontal="left" vertical="center" wrapText="1"/>
    </xf>
    <xf numFmtId="0" fontId="9" applyFont="1" fillId="7" applyFill="1" borderId="109" applyBorder="1" applyAlignment="1" xfId="0">
      <alignment horizontal="left" vertical="center" wrapText="1"/>
    </xf>
    <xf numFmtId="0" fontId="9" applyFont="1" fillId="7" applyFill="1" borderId="110" applyBorder="1" applyAlignment="1" xfId="0">
      <alignment horizontal="left" vertical="center" wrapText="1"/>
    </xf>
    <xf numFmtId="0" fontId="0" fillId="0" borderId="0" applyAlignment="1" xfId="0">
      <alignment wrapText="1"/>
    </xf>
    <xf numFmtId="0" fontId="0" fillId="0" borderId="111" applyBorder="1" applyAlignment="1" xfId="0">
      <alignment vertical="top" wrapText="1"/>
    </xf>
    <xf numFmtId="0" fontId="22" applyFont="1" fillId="12" applyFill="1" borderId="0" applyAlignment="1" xfId="0"/>
    <xf numFmtId="0" fontId="23" applyFont="1" fillId="13" applyFill="1" borderId="0" applyAlignment="1" xfId="0"/>
    <xf numFmtId="0" fontId="24" applyFont="1" fillId="14" applyFill="1" borderId="0" applyAlignment="1" xfId="0"/>
    <xf numFmtId="0" fontId="25" applyFont="1" fillId="15" applyFill="1" borderId="112" applyBorder="1" applyAlignment="1" xfId="0"/>
    <xf numFmtId="0" fontId="26" applyFont="1" fillId="16" applyFill="1" borderId="113" applyBorder="1" applyAlignment="1" xfId="0"/>
    <xf numFmtId="0" fontId="27" applyFont="1" fillId="0" borderId="0" applyAlignment="1" xfId="0"/>
    <xf numFmtId="0" fontId="28" applyFont="1" fillId="0" borderId="0" applyAlignment="1" xfId="0"/>
    <xf numFmtId="0" fontId="29" applyFont="1" fillId="0" borderId="114" applyBorder="1" applyAlignment="1" xfId="0"/>
    <xf numFmtId="0" fontId="30" applyFont="1" fillId="15" applyFill="1" borderId="115" applyBorder="1" applyAlignment="1" xfId="0"/>
    <xf numFmtId="0" fontId="31" applyFont="1" fillId="17" applyFill="1" borderId="116" applyBorder="1" applyAlignment="1" xfId="0"/>
    <xf numFmtId="0" fontId="1" applyFont="1" fillId="18" applyFill="1" borderId="117" applyBorder="1" applyAlignment="1" xfId="0"/>
    <xf numFmtId="0" fontId="32" applyFont="1" fillId="0" borderId="0" applyAlignment="1" xfId="0"/>
    <xf numFmtId="0" fontId="33" applyFont="1" fillId="0" borderId="118" applyBorder="1" applyAlignment="1" xfId="0"/>
    <xf numFmtId="0" fontId="34" applyFont="1" fillId="0" borderId="119" applyBorder="1" applyAlignment="1" xfId="0"/>
    <xf numFmtId="0" fontId="35" applyFont="1" fillId="0" borderId="120" applyBorder="1" applyAlignment="1" xfId="0"/>
    <xf numFmtId="0" fontId="35" applyFont="1" fillId="0" borderId="0" applyAlignment="1" xfId="0"/>
    <xf numFmtId="0" fontId="36" applyFont="1" fillId="0" borderId="121" applyBorder="1" applyAlignment="1" xfId="0"/>
    <xf numFmtId="0" fontId="37" applyFont="1" fillId="19" applyFill="1" borderId="0" applyAlignment="1" xfId="0"/>
    <xf numFmtId="0" fontId="37" applyFont="1" fillId="20" applyFill="1" borderId="0" applyAlignment="1" xfId="0"/>
    <xf numFmtId="0" fontId="37" applyFont="1" fillId="21" applyFill="1" borderId="0" applyAlignment="1" xfId="0"/>
    <xf numFmtId="0" fontId="37" applyFont="1" fillId="22" applyFill="1" borderId="0" applyAlignment="1" xfId="0"/>
    <xf numFmtId="0" fontId="37" applyFont="1" fillId="23" applyFill="1" borderId="0" applyAlignment="1" xfId="0"/>
    <xf numFmtId="0" fontId="37" applyFont="1" fillId="24" applyFill="1" borderId="0" applyAlignment="1" xfId="0"/>
    <xf numFmtId="0" fontId="37" applyFont="1" fillId="25" applyFill="1" borderId="0" applyAlignment="1" xfId="0"/>
    <xf numFmtId="0" fontId="37" applyFont="1" fillId="26" applyFill="1" borderId="0" applyAlignment="1" xfId="0"/>
    <xf numFmtId="0" fontId="37" applyFont="1" fillId="27" applyFill="1" borderId="0" applyAlignment="1" xfId="0"/>
    <xf numFmtId="0" fontId="37" applyFont="1" fillId="28" applyFill="1" borderId="0" applyAlignment="1" xfId="0"/>
    <xf numFmtId="0" fontId="37" applyFont="1" fillId="29" applyFill="1" borderId="0" applyAlignment="1" xfId="0"/>
    <xf numFmtId="0" fontId="37" applyFont="1" fillId="30" applyFill="1" borderId="0" applyAlignment="1" xfId="0"/>
    <xf numFmtId="0" fontId="38" applyFont="1" fillId="31" applyFill="1" borderId="0" applyAlignment="1" xfId="0"/>
    <xf numFmtId="0" fontId="38" applyFont="1" fillId="32" applyFill="1" borderId="0" applyAlignment="1" xfId="0"/>
    <xf numFmtId="0" fontId="38" applyFont="1" fillId="33" applyFill="1" borderId="0" applyAlignment="1" xfId="0"/>
    <xf numFmtId="0" fontId="38" applyFont="1" fillId="34" applyFill="1" borderId="0" applyAlignment="1" xfId="0"/>
    <xf numFmtId="0" fontId="38" applyFont="1" fillId="35" applyFill="1" borderId="0" applyAlignment="1" xfId="0"/>
    <xf numFmtId="0" fontId="38" applyFont="1" fillId="36" applyFill="1" borderId="0" applyAlignment="1" xfId="0"/>
    <xf numFmtId="0" fontId="38" applyFont="1" fillId="37" applyFill="1" borderId="0" applyAlignment="1" xfId="0"/>
    <xf numFmtId="0" fontId="38" applyFont="1" fillId="38" applyFill="1" borderId="0" applyAlignment="1" xfId="0"/>
    <xf numFmtId="0" fontId="38" applyFont="1" fillId="39" applyFill="1" borderId="0" applyAlignment="1" xfId="0"/>
    <xf numFmtId="0" fontId="38" applyFont="1" fillId="40" applyFill="1" borderId="0" applyAlignment="1" xfId="0"/>
    <xf numFmtId="0" fontId="38" applyFont="1" fillId="41" applyFill="1" borderId="0" applyAlignment="1" xfId="0"/>
    <xf numFmtId="0" fontId="38" applyFont="1" fillId="42" applyFill="1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181" applyNumberFormat="1" fontId="1" applyFont="1" fillId="0" borderId="0" applyAlignment="1" xfId="0"/>
    <xf numFmtId="0" fontId="1" applyFont="1" fillId="0" borderId="0" applyAlignment="1" xfId="0"/>
    <xf numFmtId="0" fontId="14" applyFont="1" fillId="2" applyFill="1" borderId="0" applyAlignment="1" xfId="0">
      <alignment horizontal="left" vertical="center"/>
    </xf>
    <xf numFmtId="0" fontId="16" applyFont="1" fillId="3" applyFill="1" borderId="0" applyAlignment="1" xfId="0">
      <alignment horizontal="left" vertical="center"/>
    </xf>
    <xf numFmtId="0" fontId="18" applyFont="1" fillId="4" applyFill="1" borderId="0" applyAlignment="1" xfId="0">
      <alignment vertical="center"/>
    </xf>
    <xf numFmtId="0" fontId="39" applyFont="1" fillId="6" applyFill="1" borderId="0" applyAlignment="1" xfId="0"/>
    <xf numFmtId="0" fontId="40" applyFont="1" fillId="7" applyFill="1" borderId="0" applyAlignment="1" xfId="0"/>
    <xf numFmtId="0" fontId="41" applyFont="1" fillId="43" applyFill="1" borderId="0" applyAlignment="1" xfId="0"/>
    <xf numFmtId="0" fontId="42" applyFont="1" fillId="4" applyFill="1" borderId="0" applyAlignment="1" xfId="0"/>
    <xf numFmtId="0" fontId="43" applyFont="1" fillId="8" applyFill="1" borderId="0" applyAlignment="1" xfId="0"/>
    <xf numFmtId="0" fontId="18" applyFont="1" fillId="4" applyFill="1" borderId="0" applyAlignment="1" xfId="0">
      <alignment vertical="center"/>
    </xf>
    <xf numFmtId="0" fontId="16" applyFont="1" fillId="3" applyFill="1" borderId="0" applyAlignment="1" xfId="0">
      <alignment horizontal="left" vertical="center"/>
    </xf>
    <xf numFmtId="0" fontId="14" applyFont="1" fillId="2" applyFill="1" borderId="0" applyAlignment="1" xfId="0">
      <alignment horizontal="left" vertical="center"/>
    </xf>
    <xf numFmtId="0" fontId="0" fillId="0" borderId="0" applyAlignment="1" xfId="0"/>
  </cellXfs>
  <cellStyles count="1">
    <cellStyle name="Normal" xfId="0"/>
  </cellStyles>
  <dxfs count="5">
    <dxf>
      <font>
        <color rgb="FFB91C1C"/>
        <b/>
      </font>
      <fill>
        <patternFill>
          <bgColor rgb="FFFEE2E2"/>
        </patternFill>
      </fill>
    </dxf>
    <dxf>
      <font>
        <color rgb="FFB45309"/>
        <b/>
      </font>
      <fill>
        <patternFill>
          <bgColor rgb="FFFEF3C7"/>
        </patternFill>
      </fill>
    </dxf>
    <dxf>
      <font>
        <color rgb="FF1D4ED8"/>
        <b/>
      </font>
      <fill>
        <patternFill>
          <bgColor rgb="FFDBEAFE"/>
        </patternFill>
      </fill>
    </dxf>
    <dxf>
      <font>
        <color rgb="FF475569"/>
      </font>
      <fill>
        <patternFill>
          <bgColor rgb="FFF1F5F9"/>
        </patternFill>
      </fill>
    </dxf>
    <dxf>
      <font>
        <color rgb="FF15803D"/>
        <b/>
      </font>
      <fill>
        <patternFill>
          <bgColor rgb="FFDCFCE7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H29"/>
  <sheetViews>
    <sheetView showGridLines="0" tabSelected="1" zoomScale="50" zoomScaleNormal="50" topLeftCell="A1" workbookViewId="0">
      <selection activeCell="D43" activeCellId="0" sqref="D43"/>
    </sheetView>
  </sheetViews>
  <sheetFormatPr defaultRowHeight="15.0" defaultColWidth="8.0" x14ac:dyDescent="0.15"/>
  <cols>
    <col min="1" max="1" width="18.0" customWidth="1"/>
    <col min="2" max="2" width="20.0" customWidth="1"/>
    <col min="3" max="7" width="15.0" customWidth="1"/>
    <col min="8" max="8" width="20.0" customWidth="1"/>
  </cols>
  <sheetData>
    <row r="1" spans="1:8" ht="34.0" customHeight="1" x14ac:dyDescent="0.15">
      <c r="A1" s="146" t="s">
        <v>0</v>
      </c>
      <c r="B1" s="146" t="s">
        <v>0</v>
      </c>
      <c r="C1" s="146" t="s">
        <v>0</v>
      </c>
      <c r="D1" s="146" t="s">
        <v>0</v>
      </c>
      <c r="E1" s="146" t="s">
        <v>0</v>
      </c>
      <c r="F1" s="146" t="s">
        <v>0</v>
      </c>
      <c r="G1" s="146" t="s">
        <v>0</v>
      </c>
      <c r="H1" s="146" t="s">
        <v>0</v>
      </c>
    </row>
    <row r="2" spans="1:8" ht="25.0" customHeight="1" x14ac:dyDescent="0.15">
      <c r="A2" s="147" t="s">
        <v>1</v>
      </c>
      <c r="B2" s="147" t="s">
        <v>1</v>
      </c>
      <c r="C2" s="147" t="s">
        <v>1</v>
      </c>
      <c r="D2" s="147" t="s">
        <v>1</v>
      </c>
      <c r="E2" s="147" t="s">
        <v>1</v>
      </c>
      <c r="F2" s="147" t="s">
        <v>1</v>
      </c>
      <c r="G2" s="147" t="s">
        <v>1</v>
      </c>
      <c r="H2" s="147" t="s">
        <v>1</v>
      </c>
    </row>
    <row r="3" spans="1:8" x14ac:dyDescent="0.15">
      <c r="A3" s="88"/>
      <c r="B3" s="88"/>
      <c r="C3" s="88"/>
      <c r="D3" s="88"/>
      <c r="E3" s="88"/>
      <c r="F3" s="88"/>
      <c r="G3" s="88"/>
      <c r="H3" s="88"/>
    </row>
    <row r="4" spans="1:8" x14ac:dyDescent="0.15">
      <c r="A4" s="89" t="s">
        <v>2</v>
      </c>
      <c r="B4" s="90">
        <v>46250.0</v>
      </c>
      <c r="C4" s="88"/>
      <c r="D4" s="88"/>
      <c r="E4" s="88"/>
      <c r="F4" s="88"/>
      <c r="G4" s="88"/>
      <c r="H4" s="88"/>
    </row>
    <row r="5" spans="1:8" x14ac:dyDescent="0.15">
      <c r="A5" s="88"/>
      <c r="B5" s="88"/>
      <c r="C5" s="88"/>
      <c r="D5" s="88"/>
      <c r="E5" s="88"/>
      <c r="F5" s="88"/>
      <c r="G5" s="88"/>
      <c r="H5" s="88"/>
    </row>
    <row r="6" spans="1:8" ht="30.0" customHeight="1" x14ac:dyDescent="0.15">
      <c r="A6" s="19" t="s">
        <v>3</v>
      </c>
      <c r="B6" s="19" t="s">
        <v>4</v>
      </c>
      <c r="C6" s="19" t="s">
        <v>5</v>
      </c>
      <c r="D6" s="19" t="s">
        <v>6</v>
      </c>
      <c r="E6" s="19" t="s">
        <v>7</v>
      </c>
      <c r="F6" s="19" t="s">
        <v>8</v>
      </c>
      <c r="G6" s="19" t="s">
        <v>9</v>
      </c>
      <c r="H6" s="19" t="s">
        <v>10</v>
      </c>
    </row>
    <row r="7" spans="1:8" ht="34.0" customHeight="1" x14ac:dyDescent="0.15">
      <c r="A7" s="91">
        <f>COUNTA('Correction Register'!$A$7:$A$26)</f>
        <v>20</v>
      </c>
      <c r="B7" s="92">
        <f>COUNTIFS('Correction Register'!$G$7:$G$26,"Critical",'Correction Register'!$H$7:$H$26,"&lt;&gt;Complete")</f>
        <v>3</v>
      </c>
      <c r="C7" s="93">
        <f>COUNTIFS('Correction Register'!$G$7:$G$26,"High",'Correction Register'!$H$7:$H$26,"&lt;&gt;Complete")</f>
        <v>10</v>
      </c>
      <c r="D7" s="91">
        <f>COUNTIFS('Correction Register'!$G$7:$G$26,"Medium",'Correction Register'!$H$7:$H$26,"&lt;&gt;Complete")</f>
        <v>5</v>
      </c>
      <c r="E7" s="91">
        <f>COUNTIFS('Correction Register'!$G$7:$G$26,"Low",'Correction Register'!$H$7:$H$26,"&lt;&gt;Complete")</f>
        <v>2</v>
      </c>
      <c r="F7" s="94">
        <f>COUNTIF('Correction Register'!$H$7:$H$26,"Complete")</f>
        <v>0</v>
      </c>
      <c r="G7" s="95">
        <f>IF(A7=0,0,F7/A7)</f>
        <v>0</v>
      </c>
      <c r="H7" s="91" t="s">
        <f>IF(G7=1,"Complete",IF(B7+C7&gt;0,"Action Required","In Progress"))</f>
        <v>11</v>
      </c>
    </row>
    <row r="8" spans="1:8" x14ac:dyDescent="0.15">
      <c r="A8" s="88"/>
      <c r="B8" s="88"/>
      <c r="C8" s="88"/>
      <c r="D8" s="88"/>
      <c r="E8" s="88"/>
      <c r="F8" s="88"/>
      <c r="G8" s="88"/>
      <c r="H8" s="88"/>
    </row>
    <row r="9" spans="1:8" x14ac:dyDescent="0.15">
      <c r="A9" s="88"/>
      <c r="B9" s="88"/>
      <c r="C9" s="88"/>
      <c r="D9" s="88"/>
      <c r="E9" s="88"/>
      <c r="F9" s="88"/>
      <c r="G9" s="88"/>
      <c r="H9" s="88"/>
    </row>
    <row r="10" spans="1:8" ht="25.0" customHeight="1" x14ac:dyDescent="0.15">
      <c r="A10" s="148" t="s">
        <v>12</v>
      </c>
      <c r="B10" s="148" t="s">
        <v>12</v>
      </c>
      <c r="C10" s="148" t="s">
        <v>12</v>
      </c>
      <c r="D10" s="148" t="s">
        <v>12</v>
      </c>
      <c r="E10" s="148" t="s">
        <v>12</v>
      </c>
      <c r="F10" s="148" t="s">
        <v>12</v>
      </c>
      <c r="G10" s="148" t="s">
        <v>12</v>
      </c>
      <c r="H10" s="148" t="s">
        <v>12</v>
      </c>
    </row>
    <row r="11" spans="1:8" ht="36.0" customHeight="1" x14ac:dyDescent="0.15">
      <c r="A11" s="44" t="s">
        <v>13</v>
      </c>
      <c r="B11" s="42" t="s">
        <v>14</v>
      </c>
      <c r="C11" s="149" t="s">
        <v>15</v>
      </c>
      <c r="D11" s="149"/>
      <c r="E11" s="149"/>
      <c r="F11" s="149"/>
      <c r="G11" s="149"/>
      <c r="H11" s="149"/>
    </row>
    <row r="12" spans="1:8" ht="36.0" customHeight="1" x14ac:dyDescent="0.15">
      <c r="A12" s="44" t="s">
        <v>16</v>
      </c>
      <c r="B12" s="42" t="s">
        <v>17</v>
      </c>
      <c r="C12" s="149" t="s">
        <v>18</v>
      </c>
      <c r="D12" s="149"/>
      <c r="E12" s="149"/>
      <c r="F12" s="149"/>
      <c r="G12" s="149"/>
      <c r="H12" s="149"/>
    </row>
    <row r="13" spans="1:8" ht="36.0" customHeight="1" x14ac:dyDescent="0.15">
      <c r="A13" s="44" t="s">
        <v>19</v>
      </c>
      <c r="B13" s="42" t="s">
        <v>20</v>
      </c>
      <c r="C13" s="149" t="s">
        <v>21</v>
      </c>
      <c r="D13" s="149"/>
      <c r="E13" s="149"/>
      <c r="F13" s="149"/>
      <c r="G13" s="149"/>
      <c r="H13" s="149"/>
    </row>
    <row r="14" spans="1:8" ht="36.0" customHeight="1" x14ac:dyDescent="0.15">
      <c r="A14" s="44" t="s">
        <v>22</v>
      </c>
      <c r="B14" s="42" t="s">
        <v>23</v>
      </c>
      <c r="C14" s="149" t="s">
        <v>24</v>
      </c>
      <c r="D14" s="149"/>
      <c r="E14" s="149"/>
      <c r="F14" s="149"/>
      <c r="G14" s="149"/>
      <c r="H14" s="149"/>
    </row>
    <row r="15" spans="1:8" ht="36.0" customHeight="1" x14ac:dyDescent="0.15">
      <c r="A15" s="44" t="s">
        <v>25</v>
      </c>
      <c r="B15" s="42" t="s">
        <v>26</v>
      </c>
      <c r="C15" s="149" t="s">
        <v>27</v>
      </c>
      <c r="D15" s="149"/>
      <c r="E15" s="149"/>
      <c r="F15" s="149"/>
      <c r="G15" s="149"/>
      <c r="H15" s="149"/>
    </row>
    <row r="16" spans="1:8" x14ac:dyDescent="0.15">
      <c r="A16" s="88"/>
      <c r="B16" s="88"/>
      <c r="C16" s="88"/>
      <c r="D16" s="88"/>
      <c r="E16" s="88"/>
      <c r="F16" s="88"/>
      <c r="G16" s="88"/>
      <c r="H16" s="88"/>
    </row>
    <row r="17" spans="1:8" x14ac:dyDescent="0.15">
      <c r="A17" s="88"/>
      <c r="B17" s="88"/>
      <c r="C17" s="88"/>
      <c r="D17" s="88"/>
      <c r="E17" s="88"/>
      <c r="F17" s="88"/>
      <c r="G17" s="88"/>
      <c r="H17" s="88"/>
    </row>
    <row r="18" spans="1:8" ht="25.0" customHeight="1" x14ac:dyDescent="0.15">
      <c r="A18" s="148" t="s">
        <v>28</v>
      </c>
      <c r="B18" s="148" t="s">
        <v>28</v>
      </c>
      <c r="C18" s="148" t="s">
        <v>28</v>
      </c>
      <c r="D18" s="148" t="s">
        <v>28</v>
      </c>
      <c r="E18" s="148" t="s">
        <v>28</v>
      </c>
      <c r="F18" s="148" t="s">
        <v>28</v>
      </c>
      <c r="G18" s="148" t="s">
        <v>28</v>
      </c>
      <c r="H18" s="148" t="s">
        <v>28</v>
      </c>
    </row>
    <row r="19" spans="1:8" x14ac:dyDescent="0.15">
      <c r="A19" s="158" t="s">
        <v>29</v>
      </c>
      <c r="B19" s="157" t="s">
        <v>29</v>
      </c>
      <c r="C19" s="157" t="s">
        <v>29</v>
      </c>
      <c r="D19" s="157" t="s">
        <v>29</v>
      </c>
      <c r="E19" s="157" t="s">
        <v>29</v>
      </c>
      <c r="F19" s="157" t="s">
        <v>29</v>
      </c>
      <c r="G19" s="157" t="s">
        <v>29</v>
      </c>
      <c r="H19" s="156" t="s">
        <v>29</v>
      </c>
    </row>
    <row r="20" spans="1:8" x14ac:dyDescent="0.15">
      <c r="A20" s="155" t="s">
        <v>29</v>
      </c>
      <c r="B20" s="154" t="s">
        <v>29</v>
      </c>
      <c r="C20" s="154" t="s">
        <v>29</v>
      </c>
      <c r="D20" s="154" t="s">
        <v>29</v>
      </c>
      <c r="E20" s="154" t="s">
        <v>29</v>
      </c>
      <c r="F20" s="154" t="s">
        <v>29</v>
      </c>
      <c r="G20" s="154" t="s">
        <v>29</v>
      </c>
      <c r="H20" s="153" t="s">
        <v>29</v>
      </c>
    </row>
    <row r="21" spans="1:8" x14ac:dyDescent="0.15">
      <c r="A21" s="152" t="s">
        <v>29</v>
      </c>
      <c r="B21" s="151" t="s">
        <v>29</v>
      </c>
      <c r="C21" s="151" t="s">
        <v>29</v>
      </c>
      <c r="D21" s="151" t="s">
        <v>29</v>
      </c>
      <c r="E21" s="151" t="s">
        <v>29</v>
      </c>
      <c r="F21" s="151" t="s">
        <v>29</v>
      </c>
      <c r="G21" s="151" t="s">
        <v>29</v>
      </c>
      <c r="H21" s="150" t="s">
        <v>29</v>
      </c>
    </row>
    <row r="22" spans="1:8" x14ac:dyDescent="0.15">
      <c r="A22" s="88"/>
      <c r="B22" s="88"/>
      <c r="C22" s="88"/>
      <c r="D22" s="88"/>
      <c r="E22" s="88"/>
      <c r="F22" s="88"/>
      <c r="G22" s="88"/>
      <c r="H22" s="88"/>
    </row>
    <row r="23" spans="1:8" x14ac:dyDescent="0.15">
      <c r="A23" s="88"/>
      <c r="B23" s="88"/>
      <c r="C23" s="88"/>
      <c r="D23" s="88"/>
      <c r="E23" s="88"/>
      <c r="F23" s="88"/>
      <c r="G23" s="88"/>
      <c r="H23" s="88"/>
    </row>
    <row r="24" spans="1:8" ht="25.0" customHeight="1" x14ac:dyDescent="0.15">
      <c r="A24" s="148" t="s">
        <v>30</v>
      </c>
      <c r="B24" s="148" t="s">
        <v>30</v>
      </c>
      <c r="C24" s="148" t="s">
        <v>30</v>
      </c>
      <c r="D24" s="148" t="s">
        <v>30</v>
      </c>
      <c r="E24" s="148" t="s">
        <v>30</v>
      </c>
      <c r="F24" s="148" t="s">
        <v>30</v>
      </c>
      <c r="G24" s="148" t="s">
        <v>30</v>
      </c>
      <c r="H24" s="148" t="s">
        <v>30</v>
      </c>
    </row>
    <row r="25" spans="1:8" x14ac:dyDescent="0.15">
      <c r="A25" s="42" t="s">
        <v>31</v>
      </c>
      <c r="B25" s="160" t="s">
        <v>32</v>
      </c>
      <c r="C25" s="159"/>
      <c r="D25" s="159"/>
      <c r="E25" s="159"/>
      <c r="F25" s="159"/>
      <c r="G25" s="159"/>
      <c r="H25" s="159"/>
    </row>
    <row r="26" spans="1:8" x14ac:dyDescent="0.15">
      <c r="A26" s="42" t="s">
        <v>33</v>
      </c>
      <c r="B26" s="160" t="s">
        <v>34</v>
      </c>
      <c r="C26" s="159"/>
      <c r="D26" s="159"/>
      <c r="E26" s="159"/>
      <c r="F26" s="159"/>
      <c r="G26" s="159"/>
      <c r="H26" s="159"/>
    </row>
    <row r="27" spans="1:8" x14ac:dyDescent="0.15">
      <c r="A27" s="42" t="s">
        <v>35</v>
      </c>
      <c r="B27" s="160" t="s">
        <v>36</v>
      </c>
      <c r="C27" s="159"/>
      <c r="D27" s="159"/>
      <c r="E27" s="159"/>
      <c r="F27" s="159"/>
      <c r="G27" s="159"/>
      <c r="H27" s="159"/>
    </row>
    <row r="28" spans="1:8" x14ac:dyDescent="0.15">
      <c r="A28" s="42" t="s">
        <v>37</v>
      </c>
      <c r="B28" s="160" t="s">
        <v>38</v>
      </c>
      <c r="C28" s="159"/>
      <c r="D28" s="159"/>
      <c r="E28" s="159"/>
      <c r="F28" s="159"/>
      <c r="G28" s="159"/>
      <c r="H28" s="159"/>
    </row>
    <row r="29" spans="1:8" x14ac:dyDescent="0.15">
      <c r="A29" s="42" t="s">
        <v>39</v>
      </c>
      <c r="B29" s="160" t="s">
        <v>40</v>
      </c>
      <c r="C29" s="159"/>
      <c r="D29" s="159"/>
      <c r="E29" s="159"/>
      <c r="F29" s="159"/>
      <c r="G29" s="159"/>
      <c r="H29" s="159"/>
    </row>
  </sheetData>
  <mergeCells count="16">
    <mergeCell ref="A1:H1"/>
    <mergeCell ref="A2:H2"/>
    <mergeCell ref="A10:H10"/>
    <mergeCell ref="C11:H11"/>
    <mergeCell ref="C12:H12"/>
    <mergeCell ref="C13:H13"/>
    <mergeCell ref="C14:H14"/>
    <mergeCell ref="C15:H15"/>
    <mergeCell ref="A18:H18"/>
    <mergeCell ref="A19:H21"/>
    <mergeCell ref="A24:H24"/>
    <mergeCell ref="B25:H25"/>
    <mergeCell ref="B26:H26"/>
    <mergeCell ref="B27:H27"/>
    <mergeCell ref="B28:H28"/>
    <mergeCell ref="B29:H29"/>
  </mergeCells>
  <phoneticPr fontId="0" type="noConversion"/>
  <pageMargins left="0.6999125161508876" right="0.6999125161508876" top="0.7499062639521802" bottom="0.7499062639521802" header="0.2999625102741512" footer="0.2999625102741512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L26"/>
  <sheetViews>
    <sheetView showGridLines="0" zoomScaleNormal="100" topLeftCell="D1" workbookViewId="0">
      <selection activeCell="A1" activeCellId="0" sqref="A1"/>
    </sheetView>
  </sheetViews>
  <sheetFormatPr defaultRowHeight="15.0" defaultColWidth="8.0" x14ac:dyDescent="0.15"/>
  <cols>
    <col min="1" max="1" width="9.0" customWidth="1"/>
    <col min="2" max="2" width="18.0" customWidth="1"/>
    <col min="3" max="3" width="25.0" customWidth="1"/>
    <col min="4" max="6" width="34.0" customWidth="1"/>
    <col min="7" max="8" width="16.0" customWidth="1"/>
    <col min="9" max="9" width="19.0" customWidth="1"/>
    <col min="10" max="10" width="28.0" customWidth="1"/>
    <col min="11" max="11" width="15.0" customWidth="1"/>
    <col min="12" max="12" width="42.0" customWidth="1"/>
  </cols>
  <sheetData>
    <row r="1" spans="1:12" ht="34.0" customHeight="1" x14ac:dyDescent="0.15">
      <c r="A1" s="218" t="s">
        <v>31</v>
      </c>
      <c r="B1" s="218" t="s">
        <v>31</v>
      </c>
      <c r="C1" s="218" t="s">
        <v>31</v>
      </c>
      <c r="D1" s="218" t="s">
        <v>31</v>
      </c>
      <c r="E1" s="218" t="s">
        <v>31</v>
      </c>
      <c r="F1" s="218" t="s">
        <v>31</v>
      </c>
      <c r="G1" s="218" t="s">
        <v>31</v>
      </c>
      <c r="H1" s="218" t="s">
        <v>31</v>
      </c>
      <c r="I1" s="218" t="s">
        <v>31</v>
      </c>
      <c r="J1" s="218" t="s">
        <v>31</v>
      </c>
      <c r="K1" s="218" t="s">
        <v>31</v>
      </c>
      <c r="L1" s="218" t="s">
        <v>31</v>
      </c>
    </row>
    <row r="2" spans="1:12" ht="25.0" customHeight="1" x14ac:dyDescent="0.15">
      <c r="A2" s="217" t="s">
        <v>41</v>
      </c>
      <c r="B2" s="217" t="s">
        <v>41</v>
      </c>
      <c r="C2" s="217" t="s">
        <v>41</v>
      </c>
      <c r="D2" s="217" t="s">
        <v>41</v>
      </c>
      <c r="E2" s="217" t="s">
        <v>41</v>
      </c>
      <c r="F2" s="217" t="s">
        <v>41</v>
      </c>
      <c r="G2" s="217" t="s">
        <v>41</v>
      </c>
      <c r="H2" s="217" t="s">
        <v>41</v>
      </c>
      <c r="I2" s="217" t="s">
        <v>41</v>
      </c>
      <c r="J2" s="217" t="s">
        <v>41</v>
      </c>
      <c r="K2" s="217" t="s">
        <v>41</v>
      </c>
      <c r="L2" s="217" t="s">
        <v>41</v>
      </c>
    </row>
    <row r="3" spans="1:12" x14ac:dyDescent="0.15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</row>
    <row r="4" spans="1:12" x14ac:dyDescent="0.15">
      <c r="A4" s="216" t="s">
        <v>42</v>
      </c>
      <c r="B4" s="216" t="s">
        <v>42</v>
      </c>
      <c r="C4" s="216" t="s">
        <v>42</v>
      </c>
      <c r="D4" s="216" t="s">
        <v>42</v>
      </c>
      <c r="E4" s="216" t="s">
        <v>42</v>
      </c>
      <c r="F4" s="216" t="s">
        <v>42</v>
      </c>
      <c r="G4" s="216" t="s">
        <v>42</v>
      </c>
      <c r="H4" s="216" t="s">
        <v>42</v>
      </c>
      <c r="I4" s="216" t="s">
        <v>42</v>
      </c>
      <c r="J4" s="216" t="s">
        <v>42</v>
      </c>
      <c r="K4" s="216" t="s">
        <v>42</v>
      </c>
      <c r="L4" s="216" t="s">
        <v>42</v>
      </c>
    </row>
    <row r="5" spans="1:12" x14ac:dyDescent="0.15">
      <c r="A5" s="136"/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</row>
    <row r="6" spans="1:12" ht="30.0" customHeight="1" x14ac:dyDescent="0.15">
      <c r="A6" s="115" t="s">
        <v>43</v>
      </c>
      <c r="B6" s="115" t="s">
        <v>44</v>
      </c>
      <c r="C6" s="115" t="s">
        <v>45</v>
      </c>
      <c r="D6" s="115" t="s">
        <v>46</v>
      </c>
      <c r="E6" s="115" t="s">
        <v>47</v>
      </c>
      <c r="F6" s="115" t="s">
        <v>48</v>
      </c>
      <c r="G6" s="115" t="s">
        <v>49</v>
      </c>
      <c r="H6" s="115" t="s">
        <v>50</v>
      </c>
      <c r="I6" s="115" t="s">
        <v>51</v>
      </c>
      <c r="J6" s="115" t="s">
        <v>52</v>
      </c>
      <c r="K6" s="115" t="s">
        <v>53</v>
      </c>
      <c r="L6" s="115" t="s">
        <v>54</v>
      </c>
    </row>
    <row r="7" spans="1:12" ht="76.0" customHeight="1" x14ac:dyDescent="0.15">
      <c r="A7" s="122" t="s">
        <v>55</v>
      </c>
      <c r="B7" s="116" t="s">
        <v>56</v>
      </c>
      <c r="C7" s="116" t="s">
        <v>57</v>
      </c>
      <c r="D7" s="116" t="s">
        <v>58</v>
      </c>
      <c r="E7" s="116" t="s">
        <v>59</v>
      </c>
      <c r="F7" s="116" t="s">
        <v>60</v>
      </c>
      <c r="G7" s="122" t="s">
        <v>61</v>
      </c>
      <c r="H7" s="122" t="s">
        <v>62</v>
      </c>
      <c r="I7" s="122" t="s">
        <v>63</v>
      </c>
      <c r="J7" s="116" t="s">
        <v>64</v>
      </c>
      <c r="K7" s="125">
        <f>IF(G7="Critical",'Executive Summary'!$B$4+7,IF(G7="High",'Executive Summary'!$B$4+14,IF(G7="Medium",'Executive Summary'!$B$4+30,'Executive Summary'!$B$4+45)))</f>
        <v>46264</v>
      </c>
      <c r="L7" s="116" t="s">
        <v>65</v>
      </c>
    </row>
    <row r="8" spans="1:12" ht="76.0" customHeight="1" x14ac:dyDescent="0.15">
      <c r="A8" s="123" t="s">
        <v>66</v>
      </c>
      <c r="B8" s="118" t="s">
        <v>67</v>
      </c>
      <c r="C8" s="118" t="s">
        <v>68</v>
      </c>
      <c r="D8" s="118" t="s">
        <v>69</v>
      </c>
      <c r="E8" s="118" t="s">
        <v>70</v>
      </c>
      <c r="F8" s="118" t="s">
        <v>71</v>
      </c>
      <c r="G8" s="123" t="s">
        <v>61</v>
      </c>
      <c r="H8" s="123" t="s">
        <v>62</v>
      </c>
      <c r="I8" s="123" t="s">
        <v>63</v>
      </c>
      <c r="J8" s="118" t="s">
        <v>72</v>
      </c>
      <c r="K8" s="126">
        <f>IF(G8="Critical",'Executive Summary'!$B$4+7,IF(G8="High",'Executive Summary'!$B$4+14,IF(G8="Medium",'Executive Summary'!$B$4+30,'Executive Summary'!$B$4+45)))</f>
        <v>46264</v>
      </c>
      <c r="L8" s="118" t="s">
        <v>73</v>
      </c>
    </row>
    <row r="9" spans="1:12" ht="76.0" customHeight="1" x14ac:dyDescent="0.15">
      <c r="A9" s="123" t="s">
        <v>74</v>
      </c>
      <c r="B9" s="118" t="s">
        <v>75</v>
      </c>
      <c r="C9" s="118" t="s">
        <v>76</v>
      </c>
      <c r="D9" s="118" t="s">
        <v>77</v>
      </c>
      <c r="E9" s="118" t="s">
        <v>78</v>
      </c>
      <c r="F9" s="118" t="s">
        <v>79</v>
      </c>
      <c r="G9" s="123" t="s">
        <v>80</v>
      </c>
      <c r="H9" s="123" t="s">
        <v>81</v>
      </c>
      <c r="I9" s="123" t="s">
        <v>82</v>
      </c>
      <c r="J9" s="118" t="s">
        <v>83</v>
      </c>
      <c r="K9" s="126">
        <f>IF(G9="Critical",'Executive Summary'!$B$4+7,IF(G9="High",'Executive Summary'!$B$4+14,IF(G9="Medium",'Executive Summary'!$B$4+30,'Executive Summary'!$B$4+45)))</f>
        <v>46257</v>
      </c>
      <c r="L9" s="118" t="s">
        <v>84</v>
      </c>
    </row>
    <row r="10" spans="1:12" ht="76.0" customHeight="1" x14ac:dyDescent="0.15">
      <c r="A10" s="123" t="s">
        <v>85</v>
      </c>
      <c r="B10" s="118" t="s">
        <v>86</v>
      </c>
      <c r="C10" s="118" t="s">
        <v>87</v>
      </c>
      <c r="D10" s="118" t="s">
        <v>88</v>
      </c>
      <c r="E10" s="118" t="s">
        <v>89</v>
      </c>
      <c r="F10" s="118" t="s">
        <v>90</v>
      </c>
      <c r="G10" s="123" t="s">
        <v>61</v>
      </c>
      <c r="H10" s="123" t="s">
        <v>62</v>
      </c>
      <c r="I10" s="123" t="s">
        <v>63</v>
      </c>
      <c r="J10" s="118" t="s">
        <v>91</v>
      </c>
      <c r="K10" s="126">
        <f>IF(G10="Critical",'Executive Summary'!$B$4+7,IF(G10="High",'Executive Summary'!$B$4+14,IF(G10="Medium",'Executive Summary'!$B$4+30,'Executive Summary'!$B$4+45)))</f>
        <v>46264</v>
      </c>
      <c r="L10" s="118" t="s">
        <v>92</v>
      </c>
    </row>
    <row r="11" spans="1:12" ht="76.0" customHeight="1" x14ac:dyDescent="0.15">
      <c r="A11" s="123" t="s">
        <v>93</v>
      </c>
      <c r="B11" s="118" t="s">
        <v>94</v>
      </c>
      <c r="C11" s="118" t="s">
        <v>95</v>
      </c>
      <c r="D11" s="118" t="s">
        <v>96</v>
      </c>
      <c r="E11" s="118" t="s">
        <v>97</v>
      </c>
      <c r="F11" s="118" t="s">
        <v>98</v>
      </c>
      <c r="G11" s="123" t="s">
        <v>61</v>
      </c>
      <c r="H11" s="123" t="s">
        <v>62</v>
      </c>
      <c r="I11" s="123" t="s">
        <v>82</v>
      </c>
      <c r="J11" s="118" t="s">
        <v>99</v>
      </c>
      <c r="K11" s="126">
        <f>IF(G11="Critical",'Executive Summary'!$B$4+7,IF(G11="High",'Executive Summary'!$B$4+14,IF(G11="Medium",'Executive Summary'!$B$4+30,'Executive Summary'!$B$4+45)))</f>
        <v>46264</v>
      </c>
      <c r="L11" s="118" t="s">
        <v>100</v>
      </c>
    </row>
    <row r="12" spans="1:12" ht="76.0" customHeight="1" x14ac:dyDescent="0.15">
      <c r="A12" s="123" t="s">
        <v>101</v>
      </c>
      <c r="B12" s="118" t="s">
        <v>102</v>
      </c>
      <c r="C12" s="118" t="s">
        <v>103</v>
      </c>
      <c r="D12" s="118" t="s">
        <v>104</v>
      </c>
      <c r="E12" s="118" t="s">
        <v>105</v>
      </c>
      <c r="F12" s="118" t="s">
        <v>106</v>
      </c>
      <c r="G12" s="123" t="s">
        <v>107</v>
      </c>
      <c r="H12" s="123" t="s">
        <v>81</v>
      </c>
      <c r="I12" s="123" t="s">
        <v>108</v>
      </c>
      <c r="J12" s="118" t="s">
        <v>109</v>
      </c>
      <c r="K12" s="126">
        <f>IF(G12="Critical",'Executive Summary'!$B$4+7,IF(G12="High",'Executive Summary'!$B$4+14,IF(G12="Medium",'Executive Summary'!$B$4+30,'Executive Summary'!$B$4+45)))</f>
        <v>46280</v>
      </c>
      <c r="L12" s="118" t="s">
        <v>110</v>
      </c>
    </row>
    <row r="13" spans="1:12" ht="76.0" customHeight="1" x14ac:dyDescent="0.15">
      <c r="A13" s="123" t="s">
        <v>111</v>
      </c>
      <c r="B13" s="118" t="s">
        <v>112</v>
      </c>
      <c r="C13" s="118" t="s">
        <v>113</v>
      </c>
      <c r="D13" s="118" t="s">
        <v>114</v>
      </c>
      <c r="E13" s="118" t="s">
        <v>115</v>
      </c>
      <c r="F13" s="118" t="s">
        <v>116</v>
      </c>
      <c r="G13" s="123" t="s">
        <v>107</v>
      </c>
      <c r="H13" s="123" t="s">
        <v>62</v>
      </c>
      <c r="I13" s="123" t="s">
        <v>63</v>
      </c>
      <c r="J13" s="118" t="s">
        <v>117</v>
      </c>
      <c r="K13" s="126">
        <f>IF(G13="Critical",'Executive Summary'!$B$4+7,IF(G13="High",'Executive Summary'!$B$4+14,IF(G13="Medium",'Executive Summary'!$B$4+30,'Executive Summary'!$B$4+45)))</f>
        <v>46280</v>
      </c>
      <c r="L13" s="118" t="s">
        <v>118</v>
      </c>
    </row>
    <row r="14" spans="1:12" ht="76.0" customHeight="1" x14ac:dyDescent="0.15">
      <c r="A14" s="123" t="s">
        <v>119</v>
      </c>
      <c r="B14" s="118" t="s">
        <v>120</v>
      </c>
      <c r="C14" s="118" t="s">
        <v>121</v>
      </c>
      <c r="D14" s="118" t="s">
        <v>122</v>
      </c>
      <c r="E14" s="118" t="s">
        <v>123</v>
      </c>
      <c r="F14" s="118" t="s">
        <v>124</v>
      </c>
      <c r="G14" s="123" t="s">
        <v>61</v>
      </c>
      <c r="H14" s="123" t="s">
        <v>81</v>
      </c>
      <c r="I14" s="123" t="s">
        <v>108</v>
      </c>
      <c r="J14" s="118" t="s">
        <v>125</v>
      </c>
      <c r="K14" s="126">
        <f>IF(G14="Critical",'Executive Summary'!$B$4+7,IF(G14="High",'Executive Summary'!$B$4+14,IF(G14="Medium",'Executive Summary'!$B$4+30,'Executive Summary'!$B$4+45)))</f>
        <v>46264</v>
      </c>
      <c r="L14" s="118" t="s">
        <v>126</v>
      </c>
    </row>
    <row r="15" spans="1:12" ht="76.0" customHeight="1" x14ac:dyDescent="0.15">
      <c r="A15" s="123" t="s">
        <v>127</v>
      </c>
      <c r="B15" s="118" t="s">
        <v>128</v>
      </c>
      <c r="C15" s="118" t="s">
        <v>129</v>
      </c>
      <c r="D15" s="118" t="s">
        <v>130</v>
      </c>
      <c r="E15" s="118" t="s">
        <v>131</v>
      </c>
      <c r="F15" s="118" t="s">
        <v>132</v>
      </c>
      <c r="G15" s="123" t="s">
        <v>61</v>
      </c>
      <c r="H15" s="123" t="s">
        <v>81</v>
      </c>
      <c r="I15" s="123" t="s">
        <v>108</v>
      </c>
      <c r="J15" s="118" t="s">
        <v>133</v>
      </c>
      <c r="K15" s="126">
        <f>IF(G15="Critical",'Executive Summary'!$B$4+7,IF(G15="High",'Executive Summary'!$B$4+14,IF(G15="Medium",'Executive Summary'!$B$4+30,'Executive Summary'!$B$4+45)))</f>
        <v>46264</v>
      </c>
      <c r="L15" s="118" t="s">
        <v>134</v>
      </c>
    </row>
    <row r="16" spans="1:12" ht="76.0" customHeight="1" x14ac:dyDescent="0.15">
      <c r="A16" s="123" t="s">
        <v>135</v>
      </c>
      <c r="B16" s="118" t="s">
        <v>136</v>
      </c>
      <c r="C16" s="118" t="s">
        <v>137</v>
      </c>
      <c r="D16" s="118" t="s">
        <v>138</v>
      </c>
      <c r="E16" s="118" t="s">
        <v>139</v>
      </c>
      <c r="F16" s="118" t="s">
        <v>140</v>
      </c>
      <c r="G16" s="123" t="s">
        <v>107</v>
      </c>
      <c r="H16" s="123" t="s">
        <v>81</v>
      </c>
      <c r="I16" s="123" t="s">
        <v>108</v>
      </c>
      <c r="J16" s="118" t="s">
        <v>141</v>
      </c>
      <c r="K16" s="126">
        <f>IF(G16="Critical",'Executive Summary'!$B$4+7,IF(G16="High",'Executive Summary'!$B$4+14,IF(G16="Medium",'Executive Summary'!$B$4+30,'Executive Summary'!$B$4+45)))</f>
        <v>46280</v>
      </c>
      <c r="L16" s="118" t="s">
        <v>142</v>
      </c>
    </row>
    <row r="17" spans="1:12" ht="76.0" customHeight="1" x14ac:dyDescent="0.15">
      <c r="A17" s="123" t="s">
        <v>143</v>
      </c>
      <c r="B17" s="118" t="s">
        <v>144</v>
      </c>
      <c r="C17" s="118" t="s">
        <v>145</v>
      </c>
      <c r="D17" s="118" t="s">
        <v>146</v>
      </c>
      <c r="E17" s="118" t="s">
        <v>147</v>
      </c>
      <c r="F17" s="118" t="s">
        <v>148</v>
      </c>
      <c r="G17" s="123" t="s">
        <v>149</v>
      </c>
      <c r="H17" s="123" t="s">
        <v>81</v>
      </c>
      <c r="I17" s="123" t="s">
        <v>150</v>
      </c>
      <c r="J17" s="118" t="s">
        <v>151</v>
      </c>
      <c r="K17" s="126">
        <f>IF(G17="Critical",'Executive Summary'!$B$4+7,IF(G17="High",'Executive Summary'!$B$4+14,IF(G17="Medium",'Executive Summary'!$B$4+30,'Executive Summary'!$B$4+45)))</f>
        <v>46295</v>
      </c>
      <c r="L17" s="118" t="s">
        <v>152</v>
      </c>
    </row>
    <row r="18" spans="1:12" ht="76.0" customHeight="1" x14ac:dyDescent="0.15">
      <c r="A18" s="123" t="s">
        <v>153</v>
      </c>
      <c r="B18" s="118" t="s">
        <v>154</v>
      </c>
      <c r="C18" s="118" t="s">
        <v>155</v>
      </c>
      <c r="D18" s="118" t="s">
        <v>156</v>
      </c>
      <c r="E18" s="118" t="s">
        <v>157</v>
      </c>
      <c r="F18" s="118" t="s">
        <v>158</v>
      </c>
      <c r="G18" s="123" t="s">
        <v>61</v>
      </c>
      <c r="H18" s="123" t="s">
        <v>62</v>
      </c>
      <c r="I18" s="123" t="s">
        <v>82</v>
      </c>
      <c r="J18" s="118" t="s">
        <v>159</v>
      </c>
      <c r="K18" s="126">
        <f>IF(G18="Critical",'Executive Summary'!$B$4+7,IF(G18="High",'Executive Summary'!$B$4+14,IF(G18="Medium",'Executive Summary'!$B$4+30,'Executive Summary'!$B$4+45)))</f>
        <v>46264</v>
      </c>
      <c r="L18" s="118" t="s">
        <v>126</v>
      </c>
    </row>
    <row r="19" spans="1:12" ht="76.0" customHeight="1" x14ac:dyDescent="0.15">
      <c r="A19" s="123" t="s">
        <v>160</v>
      </c>
      <c r="B19" s="118" t="s">
        <v>161</v>
      </c>
      <c r="C19" s="118" t="s">
        <v>162</v>
      </c>
      <c r="D19" s="118" t="s">
        <v>163</v>
      </c>
      <c r="E19" s="118" t="s">
        <v>164</v>
      </c>
      <c r="F19" s="118" t="s">
        <v>165</v>
      </c>
      <c r="G19" s="123" t="s">
        <v>61</v>
      </c>
      <c r="H19" s="123" t="s">
        <v>62</v>
      </c>
      <c r="I19" s="123" t="s">
        <v>63</v>
      </c>
      <c r="J19" s="118" t="s">
        <v>166</v>
      </c>
      <c r="K19" s="126">
        <f>IF(G19="Critical",'Executive Summary'!$B$4+7,IF(G19="High",'Executive Summary'!$B$4+14,IF(G19="Medium",'Executive Summary'!$B$4+30,'Executive Summary'!$B$4+45)))</f>
        <v>46264</v>
      </c>
      <c r="L19" s="118" t="s">
        <v>167</v>
      </c>
    </row>
    <row r="20" spans="1:12" ht="76.0" customHeight="1" x14ac:dyDescent="0.15">
      <c r="A20" s="123" t="s">
        <v>168</v>
      </c>
      <c r="B20" s="118" t="s">
        <v>169</v>
      </c>
      <c r="C20" s="118" t="s">
        <v>170</v>
      </c>
      <c r="D20" s="118" t="s">
        <v>171</v>
      </c>
      <c r="E20" s="118" t="s">
        <v>172</v>
      </c>
      <c r="F20" s="118" t="s">
        <v>173</v>
      </c>
      <c r="G20" s="123" t="s">
        <v>107</v>
      </c>
      <c r="H20" s="123" t="s">
        <v>62</v>
      </c>
      <c r="I20" s="123" t="s">
        <v>63</v>
      </c>
      <c r="J20" s="118" t="s">
        <v>174</v>
      </c>
      <c r="K20" s="126">
        <f>IF(G20="Critical",'Executive Summary'!$B$4+7,IF(G20="High",'Executive Summary'!$B$4+14,IF(G20="Medium",'Executive Summary'!$B$4+30,'Executive Summary'!$B$4+45)))</f>
        <v>46280</v>
      </c>
      <c r="L20" s="118" t="s">
        <v>175</v>
      </c>
    </row>
    <row r="21" spans="1:12" ht="76.0" customHeight="1" x14ac:dyDescent="0.15">
      <c r="A21" s="123" t="s">
        <v>176</v>
      </c>
      <c r="B21" s="118" t="s">
        <v>177</v>
      </c>
      <c r="C21" s="118" t="s">
        <v>178</v>
      </c>
      <c r="D21" s="118" t="s">
        <v>179</v>
      </c>
      <c r="E21" s="118" t="s">
        <v>180</v>
      </c>
      <c r="F21" s="118" t="s">
        <v>181</v>
      </c>
      <c r="G21" s="123" t="s">
        <v>107</v>
      </c>
      <c r="H21" s="123" t="s">
        <v>81</v>
      </c>
      <c r="I21" s="123" t="s">
        <v>108</v>
      </c>
      <c r="J21" s="118" t="s">
        <v>182</v>
      </c>
      <c r="K21" s="126">
        <f>IF(G21="Critical",'Executive Summary'!$B$4+7,IF(G21="High",'Executive Summary'!$B$4+14,IF(G21="Medium",'Executive Summary'!$B$4+30,'Executive Summary'!$B$4+45)))</f>
        <v>46280</v>
      </c>
      <c r="L21" s="118" t="s">
        <v>183</v>
      </c>
    </row>
    <row r="22" spans="1:12" ht="76.0" customHeight="1" x14ac:dyDescent="0.15">
      <c r="A22" s="123" t="s">
        <v>184</v>
      </c>
      <c r="B22" s="118" t="s">
        <v>185</v>
      </c>
      <c r="C22" s="118" t="s">
        <v>186</v>
      </c>
      <c r="D22" s="118" t="s">
        <v>187</v>
      </c>
      <c r="E22" s="118" t="s">
        <v>188</v>
      </c>
      <c r="F22" s="118" t="s">
        <v>189</v>
      </c>
      <c r="G22" s="123" t="s">
        <v>61</v>
      </c>
      <c r="H22" s="123" t="s">
        <v>81</v>
      </c>
      <c r="I22" s="123" t="s">
        <v>108</v>
      </c>
      <c r="J22" s="118" t="s">
        <v>190</v>
      </c>
      <c r="K22" s="126">
        <f>IF(G22="Critical",'Executive Summary'!$B$4+7,IF(G22="High",'Executive Summary'!$B$4+14,IF(G22="Medium",'Executive Summary'!$B$4+30,'Executive Summary'!$B$4+45)))</f>
        <v>46264</v>
      </c>
      <c r="L22" s="118" t="s">
        <v>191</v>
      </c>
    </row>
    <row r="23" spans="1:12" ht="76.0" customHeight="1" x14ac:dyDescent="0.15">
      <c r="A23" s="123" t="s">
        <v>192</v>
      </c>
      <c r="B23" s="118" t="s">
        <v>193</v>
      </c>
      <c r="C23" s="118" t="s">
        <v>194</v>
      </c>
      <c r="D23" s="118" t="s">
        <v>195</v>
      </c>
      <c r="E23" s="118" t="s">
        <v>196</v>
      </c>
      <c r="F23" s="118" t="s">
        <v>197</v>
      </c>
      <c r="G23" s="123" t="s">
        <v>80</v>
      </c>
      <c r="H23" s="123" t="s">
        <v>81</v>
      </c>
      <c r="I23" s="123" t="s">
        <v>82</v>
      </c>
      <c r="J23" s="118" t="s">
        <v>198</v>
      </c>
      <c r="K23" s="126">
        <f>IF(G23="Critical",'Executive Summary'!$B$4+7,IF(G23="High",'Executive Summary'!$B$4+14,IF(G23="Medium",'Executive Summary'!$B$4+30,'Executive Summary'!$B$4+45)))</f>
        <v>46257</v>
      </c>
      <c r="L23" s="118" t="s">
        <v>199</v>
      </c>
    </row>
    <row r="24" spans="1:12" ht="76.0" customHeight="1" x14ac:dyDescent="0.15">
      <c r="A24" s="123" t="s">
        <v>200</v>
      </c>
      <c r="B24" s="118" t="s">
        <v>201</v>
      </c>
      <c r="C24" s="118" t="s">
        <v>202</v>
      </c>
      <c r="D24" s="118" t="s">
        <v>203</v>
      </c>
      <c r="E24" s="118" t="s">
        <v>204</v>
      </c>
      <c r="F24" s="118" t="s">
        <v>205</v>
      </c>
      <c r="G24" s="123" t="s">
        <v>149</v>
      </c>
      <c r="H24" s="123" t="s">
        <v>81</v>
      </c>
      <c r="I24" s="123" t="s">
        <v>108</v>
      </c>
      <c r="J24" s="118" t="s">
        <v>206</v>
      </c>
      <c r="K24" s="126">
        <f>IF(G24="Critical",'Executive Summary'!$B$4+7,IF(G24="High",'Executive Summary'!$B$4+14,IF(G24="Medium",'Executive Summary'!$B$4+30,'Executive Summary'!$B$4+45)))</f>
        <v>46295</v>
      </c>
      <c r="L24" s="118" t="s">
        <v>142</v>
      </c>
    </row>
    <row r="25" spans="1:12" ht="76.0" customHeight="1" x14ac:dyDescent="0.15">
      <c r="A25" s="123" t="s">
        <v>207</v>
      </c>
      <c r="B25" s="118" t="s">
        <v>208</v>
      </c>
      <c r="C25" s="118" t="s">
        <v>209</v>
      </c>
      <c r="D25" s="118" t="s">
        <v>210</v>
      </c>
      <c r="E25" s="118" t="s">
        <v>211</v>
      </c>
      <c r="F25" s="118" t="s">
        <v>212</v>
      </c>
      <c r="G25" s="123" t="s">
        <v>80</v>
      </c>
      <c r="H25" s="123" t="s">
        <v>62</v>
      </c>
      <c r="I25" s="123" t="s">
        <v>63</v>
      </c>
      <c r="J25" s="118" t="s">
        <v>213</v>
      </c>
      <c r="K25" s="126">
        <f>IF(G25="Critical",'Executive Summary'!$B$4+7,IF(G25="High",'Executive Summary'!$B$4+14,IF(G25="Medium",'Executive Summary'!$B$4+30,'Executive Summary'!$B$4+45)))</f>
        <v>46257</v>
      </c>
      <c r="L25" s="118" t="s">
        <v>214</v>
      </c>
    </row>
    <row r="26" spans="1:12" ht="76.0" customHeight="1" x14ac:dyDescent="0.15">
      <c r="A26" s="124" t="s">
        <v>215</v>
      </c>
      <c r="B26" s="120" t="s">
        <v>216</v>
      </c>
      <c r="C26" s="120" t="s">
        <v>217</v>
      </c>
      <c r="D26" s="120" t="s">
        <v>218</v>
      </c>
      <c r="E26" s="120" t="s">
        <v>219</v>
      </c>
      <c r="F26" s="120" t="s">
        <v>220</v>
      </c>
      <c r="G26" s="124" t="s">
        <v>61</v>
      </c>
      <c r="H26" s="124" t="s">
        <v>81</v>
      </c>
      <c r="I26" s="124" t="s">
        <v>82</v>
      </c>
      <c r="J26" s="120" t="s">
        <v>221</v>
      </c>
      <c r="K26" s="127">
        <f>IF(G26="Critical",'Executive Summary'!$B$4+7,IF(G26="High",'Executive Summary'!$B$4+14,IF(G26="Medium",'Executive Summary'!$B$4+30,'Executive Summary'!$B$4+45)))</f>
        <v>46264</v>
      </c>
      <c r="L26" s="120" t="s">
        <v>222</v>
      </c>
    </row>
  </sheetData>
  <mergeCells count="3">
    <mergeCell ref="A1:L1"/>
    <mergeCell ref="A2:L2"/>
    <mergeCell ref="A4:L4"/>
  </mergeCells>
  <phoneticPr fontId="0" type="noConversion"/>
  <conditionalFormatting sqref="G7:G26">
    <cfRule type="containsText" priority="1" operator="containsText" text="Critical" dxfId="0">
      <formula>NOT(ISERROR(SEARCH("Critical", G7)))</formula>
    </cfRule>
    <cfRule type="containsText" priority="2" operator="containsText" text="High" dxfId="1">
      <formula>NOT(ISERROR(SEARCH("High", G7)))</formula>
    </cfRule>
    <cfRule type="containsText" priority="3" operator="containsText" text="Medium" dxfId="2">
      <formula>NOT(ISERROR(SEARCH("Medium", G7)))</formula>
    </cfRule>
    <cfRule type="containsText" priority="4" operator="containsText" text="Low" dxfId="3">
      <formula>NOT(ISERROR(SEARCH("Low", G7)))</formula>
    </cfRule>
  </conditionalFormatting>
  <conditionalFormatting sqref="H7:H26">
    <cfRule type="containsText" priority="5" operator="containsText" text="Complete" dxfId="4">
      <formula>NOT(ISERROR(SEARCH("Complete", H7)))</formula>
    </cfRule>
  </conditionalFormatting>
  <dataValidations count="3">
    <dataValidation type="list" sqref="G7:G26">
      <formula1>"Critical,High,Medium,Low"</formula1>
    </dataValidation>
    <dataValidation type="list" sqref="H7:H26">
      <formula1>"Open,Needs Confirmation,In Progress,Blocked,Complete"</formula1>
    </dataValidation>
    <dataValidation type="list" sqref="I7:I26">
      <formula1>"Academy Owner,Website Admin,Marketing / Admin,IT / Admin,External Support,TBD"</formula1>
    </dataValidation>
  </dataValidations>
  <pageMargins left="0.6999125161508876" right="0.6999125161508876" top="0.7499062639521802" bottom="0.7499062639521802" header="0.2999625102741512" footer="0.2999625102741512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F19"/>
  <sheetViews>
    <sheetView showGridLines="0" zoomScaleNormal="100" topLeftCell="E12" workbookViewId="0">
      <selection activeCell="A1" activeCellId="0" sqref="A1"/>
    </sheetView>
  </sheetViews>
  <sheetFormatPr defaultRowHeight="15.0" defaultColWidth="8.0" x14ac:dyDescent="0.15"/>
  <cols>
    <col min="1" max="1" width="11.0" customWidth="1"/>
    <col min="2" max="2" width="31.0" customWidth="1"/>
    <col min="3" max="3" width="39.0" customWidth="1"/>
    <col min="4" max="4" width="36.0" customWidth="1"/>
    <col min="5" max="5" width="21.0" customWidth="1"/>
    <col min="6" max="6" width="32.0" customWidth="1"/>
  </cols>
  <sheetData>
    <row r="1" spans="1:6" ht="34.0" customHeight="1" x14ac:dyDescent="0.15">
      <c r="A1" s="218" t="s">
        <v>223</v>
      </c>
      <c r="B1" s="218" t="s">
        <v>223</v>
      </c>
      <c r="C1" s="218" t="s">
        <v>223</v>
      </c>
      <c r="D1" s="218" t="s">
        <v>223</v>
      </c>
      <c r="E1" s="218" t="s">
        <v>223</v>
      </c>
      <c r="F1" s="218" t="s">
        <v>223</v>
      </c>
    </row>
    <row r="2" spans="1:6" ht="25.0" customHeight="1" x14ac:dyDescent="0.15">
      <c r="A2" s="217" t="s">
        <v>224</v>
      </c>
      <c r="B2" s="217" t="s">
        <v>224</v>
      </c>
      <c r="C2" s="217" t="s">
        <v>224</v>
      </c>
      <c r="D2" s="217" t="s">
        <v>224</v>
      </c>
      <c r="E2" s="217" t="s">
        <v>224</v>
      </c>
      <c r="F2" s="217" t="s">
        <v>224</v>
      </c>
    </row>
    <row r="3" spans="1:6" x14ac:dyDescent="0.15">
      <c r="A3" s="136"/>
      <c r="B3" s="136"/>
      <c r="C3" s="136"/>
      <c r="D3" s="136"/>
      <c r="E3" s="136"/>
      <c r="F3" s="136"/>
    </row>
    <row r="4" spans="1:6" x14ac:dyDescent="0.15">
      <c r="A4" s="136"/>
      <c r="B4" s="136"/>
      <c r="C4" s="136"/>
      <c r="D4" s="136"/>
      <c r="E4" s="136"/>
      <c r="F4" s="136"/>
    </row>
    <row r="5" spans="1:6" ht="30.0" customHeight="1" x14ac:dyDescent="0.15">
      <c r="A5" s="115" t="s">
        <v>225</v>
      </c>
      <c r="B5" s="115" t="s">
        <v>226</v>
      </c>
      <c r="C5" s="115" t="s">
        <v>227</v>
      </c>
      <c r="D5" s="115" t="s">
        <v>228</v>
      </c>
      <c r="E5" s="115" t="s">
        <v>50</v>
      </c>
      <c r="F5" s="115" t="s">
        <v>229</v>
      </c>
    </row>
    <row r="6" spans="1:6" ht="50.0" customHeight="1" x14ac:dyDescent="0.15">
      <c r="A6" s="116" t="s">
        <v>230</v>
      </c>
      <c r="B6" s="116" t="s">
        <v>231</v>
      </c>
      <c r="C6" s="116" t="s">
        <v>232</v>
      </c>
      <c r="D6" s="138"/>
      <c r="E6" s="116" t="s">
        <f>IF(D6&lt;&gt;"","Provided","Needs Confirmation")</f>
        <v>62</v>
      </c>
      <c r="F6" s="116" t="s">
        <v>233</v>
      </c>
    </row>
    <row r="7" spans="1:6" ht="50.0" customHeight="1" x14ac:dyDescent="0.15">
      <c r="A7" s="118" t="s">
        <v>234</v>
      </c>
      <c r="B7" s="118" t="s">
        <v>235</v>
      </c>
      <c r="C7" s="118" t="s">
        <v>236</v>
      </c>
      <c r="D7" s="139"/>
      <c r="E7" s="118" t="s">
        <f>IF(D7&lt;&gt;"","Provided","Needs Confirmation")</f>
        <v>62</v>
      </c>
      <c r="F7" s="118" t="s">
        <v>237</v>
      </c>
    </row>
    <row r="8" spans="1:6" ht="50.0" customHeight="1" x14ac:dyDescent="0.15">
      <c r="A8" s="118" t="s">
        <v>238</v>
      </c>
      <c r="B8" s="118" t="s">
        <v>239</v>
      </c>
      <c r="C8" s="118" t="s">
        <v>240</v>
      </c>
      <c r="D8" s="139"/>
      <c r="E8" s="118" t="s">
        <f>IF(D8&lt;&gt;"","Provided","Needs Confirmation")</f>
        <v>62</v>
      </c>
      <c r="F8" s="118" t="s">
        <v>241</v>
      </c>
    </row>
    <row r="9" spans="1:6" ht="50.0" customHeight="1" x14ac:dyDescent="0.15">
      <c r="A9" s="118" t="s">
        <v>242</v>
      </c>
      <c r="B9" s="118" t="s">
        <v>243</v>
      </c>
      <c r="C9" s="118" t="s">
        <v>244</v>
      </c>
      <c r="D9" s="139"/>
      <c r="E9" s="118" t="s">
        <f>IF(D9&lt;&gt;"","Provided","Needs Confirmation")</f>
        <v>62</v>
      </c>
      <c r="F9" s="118" t="s">
        <v>245</v>
      </c>
    </row>
    <row r="10" spans="1:6" ht="50.0" customHeight="1" x14ac:dyDescent="0.15">
      <c r="A10" s="118" t="s">
        <v>246</v>
      </c>
      <c r="B10" s="118" t="s">
        <v>247</v>
      </c>
      <c r="C10" s="118" t="s">
        <v>248</v>
      </c>
      <c r="D10" s="139"/>
      <c r="E10" s="118" t="s">
        <f>IF(D10&lt;&gt;"","Provided","Needs Confirmation")</f>
        <v>62</v>
      </c>
      <c r="F10" s="118" t="s">
        <v>249</v>
      </c>
    </row>
    <row r="11" spans="1:6" ht="50.0" customHeight="1" x14ac:dyDescent="0.15">
      <c r="A11" s="118" t="s">
        <v>250</v>
      </c>
      <c r="B11" s="118" t="s">
        <v>251</v>
      </c>
      <c r="C11" s="118" t="s">
        <v>248</v>
      </c>
      <c r="D11" s="139"/>
      <c r="E11" s="118" t="s">
        <f>IF(D11&lt;&gt;"","Provided","Needs Confirmation")</f>
        <v>62</v>
      </c>
      <c r="F11" s="118" t="s">
        <v>249</v>
      </c>
    </row>
    <row r="12" spans="1:6" ht="50.0" customHeight="1" x14ac:dyDescent="0.15">
      <c r="A12" s="118" t="s">
        <v>252</v>
      </c>
      <c r="B12" s="118" t="s">
        <v>253</v>
      </c>
      <c r="C12" s="118" t="s">
        <v>254</v>
      </c>
      <c r="D12" s="139"/>
      <c r="E12" s="118" t="s">
        <f>IF(D12&lt;&gt;"","Provided","Needs Confirmation")</f>
        <v>62</v>
      </c>
      <c r="F12" s="118" t="s">
        <v>249</v>
      </c>
    </row>
    <row r="13" spans="1:6" ht="50.0" customHeight="1" x14ac:dyDescent="0.15">
      <c r="A13" s="118" t="s">
        <v>255</v>
      </c>
      <c r="B13" s="118" t="s">
        <v>256</v>
      </c>
      <c r="C13" s="118" t="s">
        <v>257</v>
      </c>
      <c r="D13" s="139"/>
      <c r="E13" s="118" t="s">
        <f>IF(D13&lt;&gt;"","Provided","Needs Confirmation")</f>
        <v>62</v>
      </c>
      <c r="F13" s="118" t="s">
        <v>258</v>
      </c>
    </row>
    <row r="14" spans="1:6" ht="50.0" customHeight="1" x14ac:dyDescent="0.15">
      <c r="A14" s="118" t="s">
        <v>259</v>
      </c>
      <c r="B14" s="118" t="s">
        <v>260</v>
      </c>
      <c r="C14" s="118" t="s">
        <v>261</v>
      </c>
      <c r="D14" s="139"/>
      <c r="E14" s="118" t="s">
        <f>IF(D14&lt;&gt;"","Provided","Needs Confirmation")</f>
        <v>62</v>
      </c>
      <c r="F14" s="118" t="s">
        <v>262</v>
      </c>
    </row>
    <row r="15" spans="1:6" ht="50.0" customHeight="1" x14ac:dyDescent="0.15">
      <c r="A15" s="118" t="s">
        <v>263</v>
      </c>
      <c r="B15" s="118" t="s">
        <v>264</v>
      </c>
      <c r="C15" s="118" t="s">
        <v>265</v>
      </c>
      <c r="D15" s="139"/>
      <c r="E15" s="118" t="s">
        <f>IF(D15&lt;&gt;"","Provided","Needs Confirmation")</f>
        <v>62</v>
      </c>
      <c r="F15" s="118" t="s">
        <v>266</v>
      </c>
    </row>
    <row r="16" spans="1:6" ht="50.0" customHeight="1" x14ac:dyDescent="0.15">
      <c r="A16" s="118" t="s">
        <v>267</v>
      </c>
      <c r="B16" s="118" t="s">
        <v>268</v>
      </c>
      <c r="C16" s="118" t="s">
        <v>269</v>
      </c>
      <c r="D16" s="139"/>
      <c r="E16" s="118" t="s">
        <f>IF(D16&lt;&gt;"","Provided","Needs Confirmation")</f>
        <v>62</v>
      </c>
      <c r="F16" s="118" t="s">
        <v>270</v>
      </c>
    </row>
    <row r="17" spans="1:6" ht="50.0" customHeight="1" x14ac:dyDescent="0.15">
      <c r="A17" s="118" t="s">
        <v>271</v>
      </c>
      <c r="B17" s="118" t="s">
        <v>272</v>
      </c>
      <c r="C17" s="118" t="s">
        <v>273</v>
      </c>
      <c r="D17" s="139"/>
      <c r="E17" s="118" t="s">
        <f>IF(D17&lt;&gt;"","Provided","Needs Confirmation")</f>
        <v>62</v>
      </c>
      <c r="F17" s="118" t="s">
        <v>274</v>
      </c>
    </row>
    <row r="18" spans="1:6" ht="50.0" customHeight="1" x14ac:dyDescent="0.15">
      <c r="A18" s="118" t="s">
        <v>275</v>
      </c>
      <c r="B18" s="118" t="s">
        <v>276</v>
      </c>
      <c r="C18" s="118" t="s">
        <v>277</v>
      </c>
      <c r="D18" s="139"/>
      <c r="E18" s="118" t="s">
        <f>IF(D18&lt;&gt;"","Provided","Needs Confirmation")</f>
        <v>62</v>
      </c>
      <c r="F18" s="118" t="s">
        <v>278</v>
      </c>
    </row>
    <row r="19" spans="1:6" ht="50.0" customHeight="1" x14ac:dyDescent="0.15">
      <c r="A19" s="120" t="s">
        <v>279</v>
      </c>
      <c r="B19" s="120" t="s">
        <v>280</v>
      </c>
      <c r="C19" s="120" t="s">
        <v>281</v>
      </c>
      <c r="D19" s="140"/>
      <c r="E19" s="120" t="s">
        <f>IF(D19&lt;&gt;"","Provided","Needs Confirmation")</f>
        <v>62</v>
      </c>
      <c r="F19" s="120" t="s">
        <v>282</v>
      </c>
    </row>
  </sheetData>
  <mergeCells count="2">
    <mergeCell ref="A1:F1"/>
    <mergeCell ref="A2:F2"/>
  </mergeCells>
  <phoneticPr fontId="0" type="noConversion"/>
  <conditionalFormatting sqref="E6:E19">
    <cfRule type="containsText" priority="1" operator="containsText" text="Provided" dxfId="4">
      <formula>NOT(ISERROR(SEARCH("Provided", E6)))</formula>
    </cfRule>
    <cfRule type="containsText" priority="2" operator="containsText" text="Needs Confirmation" dxfId="1">
      <formula>NOT(ISERROR(SEARCH("Needs Confirmation", E6)))</formula>
    </cfRule>
  </conditionalFormatting>
  <pageMargins left="0.6999125161508876" right="0.6999125161508876" top="0.7499062639521802" bottom="0.7499062639521802" header="0.2999625102741512" footer="0.2999625102741512"/>
  <pageSetup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H15"/>
  <sheetViews>
    <sheetView showGridLines="0" zoomScaleNormal="100" topLeftCell="H1" workbookViewId="0">
      <selection activeCell="A1" activeCellId="0" sqref="A1"/>
    </sheetView>
  </sheetViews>
  <sheetFormatPr defaultRowHeight="15.0" defaultColWidth="8.0" x14ac:dyDescent="0.15"/>
  <cols>
    <col min="1" max="1" width="18.0" customWidth="1"/>
    <col min="2" max="2" width="16.0" customWidth="1"/>
    <col min="3" max="3" width="31.0" customWidth="1"/>
    <col min="4" max="4" width="39.0" customWidth="1"/>
    <col min="5" max="5" width="20.0" customWidth="1"/>
    <col min="6" max="6" width="29.0" customWidth="1"/>
    <col min="7" max="7" width="34.0" customWidth="1"/>
    <col min="8" max="8" width="17.0" customWidth="1"/>
  </cols>
  <sheetData>
    <row r="1" spans="1:8" ht="34.0" customHeight="1" x14ac:dyDescent="0.15">
      <c r="A1" s="218" t="s">
        <v>283</v>
      </c>
      <c r="B1" s="218" t="s">
        <v>283</v>
      </c>
      <c r="C1" s="218" t="s">
        <v>283</v>
      </c>
      <c r="D1" s="218" t="s">
        <v>283</v>
      </c>
      <c r="E1" s="218" t="s">
        <v>283</v>
      </c>
      <c r="F1" s="218" t="s">
        <v>283</v>
      </c>
      <c r="G1" s="218" t="s">
        <v>283</v>
      </c>
      <c r="H1" s="218" t="s">
        <v>283</v>
      </c>
    </row>
    <row r="2" spans="1:8" ht="25.0" customHeight="1" x14ac:dyDescent="0.15">
      <c r="A2" s="217" t="s">
        <v>284</v>
      </c>
      <c r="B2" s="217" t="s">
        <v>284</v>
      </c>
      <c r="C2" s="217" t="s">
        <v>284</v>
      </c>
      <c r="D2" s="217" t="s">
        <v>284</v>
      </c>
      <c r="E2" s="217" t="s">
        <v>284</v>
      </c>
      <c r="F2" s="217" t="s">
        <v>284</v>
      </c>
      <c r="G2" s="217" t="s">
        <v>284</v>
      </c>
      <c r="H2" s="217" t="s">
        <v>284</v>
      </c>
    </row>
    <row r="3" spans="1:8" x14ac:dyDescent="0.15">
      <c r="A3" s="136"/>
      <c r="B3" s="136"/>
      <c r="C3" s="136"/>
      <c r="D3" s="136"/>
      <c r="E3" s="136"/>
      <c r="F3" s="136"/>
      <c r="G3" s="136"/>
      <c r="H3" s="136"/>
    </row>
    <row r="4" spans="1:8" x14ac:dyDescent="0.15">
      <c r="A4" s="136"/>
      <c r="B4" s="136"/>
      <c r="C4" s="136"/>
      <c r="D4" s="136"/>
      <c r="E4" s="136"/>
      <c r="F4" s="136"/>
      <c r="G4" s="136"/>
      <c r="H4" s="136"/>
    </row>
    <row r="5" spans="1:8" ht="30.0" customHeight="1" x14ac:dyDescent="0.15">
      <c r="A5" s="115" t="s">
        <v>285</v>
      </c>
      <c r="B5" s="115" t="s">
        <v>286</v>
      </c>
      <c r="C5" s="115" t="s">
        <v>287</v>
      </c>
      <c r="D5" s="115" t="s">
        <v>288</v>
      </c>
      <c r="E5" s="115" t="s">
        <v>51</v>
      </c>
      <c r="F5" s="115" t="s">
        <v>289</v>
      </c>
      <c r="G5" s="115" t="s">
        <v>290</v>
      </c>
      <c r="H5" s="115" t="s">
        <v>50</v>
      </c>
    </row>
    <row r="6" spans="1:8" ht="62.0" customHeight="1" x14ac:dyDescent="0.15">
      <c r="A6" s="116" t="s">
        <v>291</v>
      </c>
      <c r="B6" s="116" t="s">
        <v>292</v>
      </c>
      <c r="C6" s="116" t="s">
        <v>293</v>
      </c>
      <c r="D6" s="116" t="s">
        <v>294</v>
      </c>
      <c r="E6" s="116" t="s">
        <v>63</v>
      </c>
      <c r="F6" s="116" t="s">
        <v>295</v>
      </c>
      <c r="G6" s="116" t="s">
        <v>296</v>
      </c>
      <c r="H6" s="116" t="s">
        <v>297</v>
      </c>
    </row>
    <row r="7" spans="1:8" ht="62.0" customHeight="1" x14ac:dyDescent="0.15">
      <c r="A7" s="118" t="s">
        <v>298</v>
      </c>
      <c r="B7" s="118" t="s">
        <v>299</v>
      </c>
      <c r="C7" s="118" t="s">
        <v>300</v>
      </c>
      <c r="D7" s="118" t="s">
        <v>301</v>
      </c>
      <c r="E7" s="118" t="s">
        <v>82</v>
      </c>
      <c r="F7" s="118" t="s">
        <v>302</v>
      </c>
      <c r="G7" s="118" t="s">
        <v>303</v>
      </c>
      <c r="H7" s="118" t="s">
        <v>297</v>
      </c>
    </row>
    <row r="8" spans="1:8" ht="62.0" customHeight="1" x14ac:dyDescent="0.15">
      <c r="A8" s="118" t="s">
        <v>298</v>
      </c>
      <c r="B8" s="118" t="s">
        <v>304</v>
      </c>
      <c r="C8" s="118" t="s">
        <v>305</v>
      </c>
      <c r="D8" s="118" t="s">
        <v>306</v>
      </c>
      <c r="E8" s="118" t="s">
        <v>108</v>
      </c>
      <c r="F8" s="118" t="s">
        <v>302</v>
      </c>
      <c r="G8" s="118" t="s">
        <v>307</v>
      </c>
      <c r="H8" s="118" t="s">
        <v>297</v>
      </c>
    </row>
    <row r="9" spans="1:8" ht="62.0" customHeight="1" x14ac:dyDescent="0.15">
      <c r="A9" s="118" t="s">
        <v>308</v>
      </c>
      <c r="B9" s="118" t="s">
        <v>309</v>
      </c>
      <c r="C9" s="118" t="s">
        <v>310</v>
      </c>
      <c r="D9" s="118" t="s">
        <v>311</v>
      </c>
      <c r="E9" s="118" t="s">
        <v>108</v>
      </c>
      <c r="F9" s="118" t="s">
        <v>312</v>
      </c>
      <c r="G9" s="118" t="s">
        <v>313</v>
      </c>
      <c r="H9" s="118" t="s">
        <v>297</v>
      </c>
    </row>
    <row r="10" spans="1:8" ht="62.0" customHeight="1" x14ac:dyDescent="0.15">
      <c r="A10" s="118" t="s">
        <v>314</v>
      </c>
      <c r="B10" s="118" t="s">
        <v>309</v>
      </c>
      <c r="C10" s="118" t="s">
        <v>315</v>
      </c>
      <c r="D10" s="118" t="s">
        <v>316</v>
      </c>
      <c r="E10" s="118" t="s">
        <v>108</v>
      </c>
      <c r="F10" s="118" t="s">
        <v>317</v>
      </c>
      <c r="G10" s="118" t="s">
        <v>318</v>
      </c>
      <c r="H10" s="118" t="s">
        <v>297</v>
      </c>
    </row>
    <row r="11" spans="1:8" ht="62.0" customHeight="1" x14ac:dyDescent="0.15">
      <c r="A11" s="118" t="s">
        <v>319</v>
      </c>
      <c r="B11" s="118" t="s">
        <v>320</v>
      </c>
      <c r="C11" s="118" t="s">
        <v>321</v>
      </c>
      <c r="D11" s="118" t="s">
        <v>322</v>
      </c>
      <c r="E11" s="118" t="s">
        <v>63</v>
      </c>
      <c r="F11" s="118" t="s">
        <v>323</v>
      </c>
      <c r="G11" s="118" t="s">
        <v>324</v>
      </c>
      <c r="H11" s="118" t="s">
        <v>297</v>
      </c>
    </row>
    <row r="12" spans="1:8" ht="62.0" customHeight="1" x14ac:dyDescent="0.15">
      <c r="A12" s="118" t="s">
        <v>325</v>
      </c>
      <c r="B12" s="118" t="s">
        <v>326</v>
      </c>
      <c r="C12" s="118" t="s">
        <v>327</v>
      </c>
      <c r="D12" s="118" t="s">
        <v>328</v>
      </c>
      <c r="E12" s="118" t="s">
        <v>82</v>
      </c>
      <c r="F12" s="118" t="s">
        <v>329</v>
      </c>
      <c r="G12" s="118" t="s">
        <v>330</v>
      </c>
      <c r="H12" s="118" t="s">
        <v>297</v>
      </c>
    </row>
    <row r="13" spans="1:8" ht="62.0" customHeight="1" x14ac:dyDescent="0.15">
      <c r="A13" s="118" t="s">
        <v>331</v>
      </c>
      <c r="B13" s="118" t="s">
        <v>326</v>
      </c>
      <c r="C13" s="118" t="s">
        <v>332</v>
      </c>
      <c r="D13" s="118" t="s">
        <v>333</v>
      </c>
      <c r="E13" s="118" t="s">
        <v>82</v>
      </c>
      <c r="F13" s="118" t="s">
        <v>302</v>
      </c>
      <c r="G13" s="118" t="s">
        <v>334</v>
      </c>
      <c r="H13" s="118" t="s">
        <v>297</v>
      </c>
    </row>
    <row r="14" spans="1:8" ht="62.0" customHeight="1" x14ac:dyDescent="0.15">
      <c r="A14" s="118" t="s">
        <v>335</v>
      </c>
      <c r="B14" s="118" t="s">
        <v>336</v>
      </c>
      <c r="C14" s="118" t="s">
        <v>337</v>
      </c>
      <c r="D14" s="118" t="s">
        <v>338</v>
      </c>
      <c r="E14" s="118" t="s">
        <v>82</v>
      </c>
      <c r="F14" s="118" t="s">
        <v>339</v>
      </c>
      <c r="G14" s="118" t="s">
        <v>340</v>
      </c>
      <c r="H14" s="118" t="s">
        <v>297</v>
      </c>
    </row>
    <row r="15" spans="1:8" ht="62.0" customHeight="1" x14ac:dyDescent="0.15">
      <c r="A15" s="120" t="s">
        <v>341</v>
      </c>
      <c r="B15" s="120" t="s">
        <v>342</v>
      </c>
      <c r="C15" s="120" t="s">
        <v>343</v>
      </c>
      <c r="D15" s="120" t="s">
        <v>344</v>
      </c>
      <c r="E15" s="120" t="s">
        <v>63</v>
      </c>
      <c r="F15" s="120" t="s">
        <v>345</v>
      </c>
      <c r="G15" s="120" t="s">
        <v>346</v>
      </c>
      <c r="H15" s="120" t="s">
        <v>297</v>
      </c>
    </row>
  </sheetData>
  <mergeCells count="2">
    <mergeCell ref="A1:H1"/>
    <mergeCell ref="A2:H2"/>
  </mergeCells>
  <phoneticPr fontId="0" type="noConversion"/>
  <conditionalFormatting sqref="H6:H15">
    <cfRule type="containsText" priority="1" operator="containsText" text="Complete" dxfId="4">
      <formula>NOT(ISERROR(SEARCH("Complete", H6)))</formula>
    </cfRule>
    <cfRule type="containsText" priority="2" operator="containsText" text="Blocked" dxfId="0">
      <formula>NOT(ISERROR(SEARCH("Blocked", H6)))</formula>
    </cfRule>
    <cfRule type="containsText" priority="3" operator="containsText" text="In Progress" dxfId="1">
      <formula>NOT(ISERROR(SEARCH("In Progress", H6)))</formula>
    </cfRule>
  </conditionalFormatting>
  <dataValidations count="1">
    <dataValidation type="list" sqref="H6:H15">
      <formula1>"Not Started,In Progress,Blocked,Complete"</formula1>
    </dataValidation>
  </dataValidations>
  <pageMargins left="0.6999125161508876" right="0.6999125161508876" top="0.7499062639521802" bottom="0.7499062639521802" header="0.2999625102741512" footer="0.2999625102741512"/>
  <pageSetup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K20"/>
  <sheetViews>
    <sheetView showGridLines="0" zoomScaleNormal="100" topLeftCell="B6" workbookViewId="0">
      <selection activeCell="A1" activeCellId="0" sqref="A1"/>
    </sheetView>
  </sheetViews>
  <sheetFormatPr defaultRowHeight="15.0" defaultColWidth="8.0" x14ac:dyDescent="0.15"/>
  <cols>
    <col min="1" max="1" width="11.0" customWidth="1"/>
    <col min="2" max="2" width="50.0" customWidth="1"/>
    <col min="3" max="3" width="20.0" customWidth="1"/>
    <col min="4" max="4" width="23.0" customWidth="1"/>
    <col min="5" max="5" width="14.0" customWidth="1"/>
    <col min="6" max="10" width="15.0" customWidth="1"/>
    <col min="11" max="11" width="32.0" customWidth="1"/>
  </cols>
  <sheetData>
    <row r="1" spans="1:11" ht="34.0" customHeight="1" x14ac:dyDescent="0.15">
      <c r="A1" s="218" t="s">
        <v>347</v>
      </c>
      <c r="B1" s="218" t="s">
        <v>347</v>
      </c>
      <c r="C1" s="218" t="s">
        <v>347</v>
      </c>
      <c r="D1" s="218" t="s">
        <v>347</v>
      </c>
      <c r="E1" s="218" t="s">
        <v>347</v>
      </c>
      <c r="F1" s="218" t="s">
        <v>347</v>
      </c>
      <c r="G1" s="218" t="s">
        <v>347</v>
      </c>
      <c r="H1" s="218" t="s">
        <v>347</v>
      </c>
      <c r="I1" s="218" t="s">
        <v>347</v>
      </c>
      <c r="J1" s="218" t="s">
        <v>347</v>
      </c>
      <c r="K1" s="218" t="s">
        <v>347</v>
      </c>
    </row>
    <row r="2" spans="1:11" ht="25.0" customHeight="1" x14ac:dyDescent="0.15">
      <c r="A2" s="217" t="s">
        <v>348</v>
      </c>
      <c r="B2" s="217" t="s">
        <v>348</v>
      </c>
      <c r="C2" s="217" t="s">
        <v>348</v>
      </c>
      <c r="D2" s="217" t="s">
        <v>348</v>
      </c>
      <c r="E2" s="217" t="s">
        <v>348</v>
      </c>
      <c r="F2" s="217" t="s">
        <v>348</v>
      </c>
      <c r="G2" s="217" t="s">
        <v>348</v>
      </c>
      <c r="H2" s="217" t="s">
        <v>348</v>
      </c>
      <c r="I2" s="217" t="s">
        <v>348</v>
      </c>
      <c r="J2" s="217" t="s">
        <v>348</v>
      </c>
      <c r="K2" s="217" t="s">
        <v>348</v>
      </c>
    </row>
    <row r="3" spans="1:11" x14ac:dyDescent="0.15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</row>
    <row r="4" spans="1:11" x14ac:dyDescent="0.15">
      <c r="A4" s="136"/>
      <c r="B4" s="136"/>
      <c r="C4" s="136"/>
      <c r="D4" s="136"/>
      <c r="E4" s="136"/>
      <c r="F4" s="136"/>
      <c r="G4" s="136"/>
      <c r="H4" s="136"/>
      <c r="I4" s="136"/>
      <c r="J4" s="136"/>
      <c r="K4" s="136"/>
    </row>
    <row r="5" spans="1:11" ht="30.0" customHeight="1" x14ac:dyDescent="0.15">
      <c r="A5" s="115" t="s">
        <v>349</v>
      </c>
      <c r="B5" s="115" t="s">
        <v>350</v>
      </c>
      <c r="C5" s="115" t="s">
        <v>351</v>
      </c>
      <c r="D5" s="115" t="s">
        <v>352</v>
      </c>
      <c r="E5" s="115" t="s">
        <v>49</v>
      </c>
      <c r="F5" s="115" t="s">
        <v>353</v>
      </c>
      <c r="G5" s="115" t="s">
        <v>354</v>
      </c>
      <c r="H5" s="115" t="s">
        <v>355</v>
      </c>
      <c r="I5" s="115" t="s">
        <v>356</v>
      </c>
      <c r="J5" s="115" t="s">
        <v>357</v>
      </c>
      <c r="K5" s="115" t="s">
        <v>358</v>
      </c>
    </row>
    <row r="6" spans="1:11" ht="46.0" customHeight="1" x14ac:dyDescent="0.15">
      <c r="A6" s="116" t="s">
        <v>359</v>
      </c>
      <c r="B6" s="116" t="s">
        <v>360</v>
      </c>
      <c r="C6" s="116" t="s">
        <v>361</v>
      </c>
      <c r="D6" s="116" t="s">
        <v>362</v>
      </c>
      <c r="E6" s="116" t="s">
        <v>61</v>
      </c>
      <c r="F6" s="116" t="s">
        <v>363</v>
      </c>
      <c r="G6" s="116" t="s">
        <v>363</v>
      </c>
      <c r="H6" s="116" t="s">
        <v>363</v>
      </c>
      <c r="I6" s="116" t="s">
        <v>363</v>
      </c>
      <c r="J6" s="141" t="s">
        <f>IF(COUNTIF(F6:I6,"Not Checked")=4,"Not measured",COUNTIF(F6:I6,"Yes")/4)</f>
        <v>364</v>
      </c>
      <c r="K6" s="116"/>
    </row>
    <row r="7" spans="1:11" ht="46.0" customHeight="1" x14ac:dyDescent="0.15">
      <c r="A7" s="118" t="s">
        <v>365</v>
      </c>
      <c r="B7" s="118" t="s">
        <v>366</v>
      </c>
      <c r="C7" s="118" t="s">
        <v>361</v>
      </c>
      <c r="D7" s="118" t="s">
        <v>367</v>
      </c>
      <c r="E7" s="118" t="s">
        <v>61</v>
      </c>
      <c r="F7" s="118" t="s">
        <v>363</v>
      </c>
      <c r="G7" s="118" t="s">
        <v>363</v>
      </c>
      <c r="H7" s="118" t="s">
        <v>363</v>
      </c>
      <c r="I7" s="118" t="s">
        <v>363</v>
      </c>
      <c r="J7" s="142" t="s">
        <f>IF(COUNTIF(F7:I7,"Not Checked")=4,"Not measured",COUNTIF(F7:I7,"Yes")/4)</f>
        <v>364</v>
      </c>
      <c r="K7" s="118"/>
    </row>
    <row r="8" spans="1:11" ht="46.0" customHeight="1" x14ac:dyDescent="0.15">
      <c r="A8" s="118" t="s">
        <v>368</v>
      </c>
      <c r="B8" s="118" t="s">
        <v>369</v>
      </c>
      <c r="C8" s="118" t="s">
        <v>361</v>
      </c>
      <c r="D8" s="118" t="s">
        <v>370</v>
      </c>
      <c r="E8" s="118" t="s">
        <v>61</v>
      </c>
      <c r="F8" s="118" t="s">
        <v>363</v>
      </c>
      <c r="G8" s="118" t="s">
        <v>363</v>
      </c>
      <c r="H8" s="118" t="s">
        <v>363</v>
      </c>
      <c r="I8" s="118" t="s">
        <v>363</v>
      </c>
      <c r="J8" s="142" t="s">
        <f>IF(COUNTIF(F8:I8,"Not Checked")=4,"Not measured",COUNTIF(F8:I8,"Yes")/4)</f>
        <v>364</v>
      </c>
      <c r="K8" s="118"/>
    </row>
    <row r="9" spans="1:11" ht="46.0" customHeight="1" x14ac:dyDescent="0.15">
      <c r="A9" s="118" t="s">
        <v>371</v>
      </c>
      <c r="B9" s="118" t="s">
        <v>372</v>
      </c>
      <c r="C9" s="118" t="s">
        <v>373</v>
      </c>
      <c r="D9" s="118" t="s">
        <v>362</v>
      </c>
      <c r="E9" s="118" t="s">
        <v>61</v>
      </c>
      <c r="F9" s="118" t="s">
        <v>363</v>
      </c>
      <c r="G9" s="118" t="s">
        <v>363</v>
      </c>
      <c r="H9" s="118" t="s">
        <v>363</v>
      </c>
      <c r="I9" s="118" t="s">
        <v>363</v>
      </c>
      <c r="J9" s="142" t="s">
        <f>IF(COUNTIF(F9:I9,"Not Checked")=4,"Not measured",COUNTIF(F9:I9,"Yes")/4)</f>
        <v>364</v>
      </c>
      <c r="K9" s="118"/>
    </row>
    <row r="10" spans="1:11" ht="46.0" customHeight="1" x14ac:dyDescent="0.15">
      <c r="A10" s="118" t="s">
        <v>374</v>
      </c>
      <c r="B10" s="118" t="s">
        <v>375</v>
      </c>
      <c r="C10" s="118" t="s">
        <v>376</v>
      </c>
      <c r="D10" s="118" t="s">
        <v>370</v>
      </c>
      <c r="E10" s="118" t="s">
        <v>61</v>
      </c>
      <c r="F10" s="118" t="s">
        <v>363</v>
      </c>
      <c r="G10" s="118" t="s">
        <v>363</v>
      </c>
      <c r="H10" s="118" t="s">
        <v>363</v>
      </c>
      <c r="I10" s="118" t="s">
        <v>363</v>
      </c>
      <c r="J10" s="142" t="s">
        <f>IF(COUNTIF(F10:I10,"Not Checked")=4,"Not measured",COUNTIF(F10:I10,"Yes")/4)</f>
        <v>364</v>
      </c>
      <c r="K10" s="118"/>
    </row>
    <row r="11" spans="1:11" ht="46.0" customHeight="1" x14ac:dyDescent="0.15">
      <c r="A11" s="118" t="s">
        <v>377</v>
      </c>
      <c r="B11" s="118" t="s">
        <v>378</v>
      </c>
      <c r="C11" s="118" t="s">
        <v>361</v>
      </c>
      <c r="D11" s="118" t="s">
        <v>379</v>
      </c>
      <c r="E11" s="118" t="s">
        <v>61</v>
      </c>
      <c r="F11" s="118" t="s">
        <v>363</v>
      </c>
      <c r="G11" s="118" t="s">
        <v>363</v>
      </c>
      <c r="H11" s="118" t="s">
        <v>363</v>
      </c>
      <c r="I11" s="118" t="s">
        <v>363</v>
      </c>
      <c r="J11" s="142" t="s">
        <f>IF(COUNTIF(F11:I11,"Not Checked")=4,"Not measured",COUNTIF(F11:I11,"Yes")/4)</f>
        <v>364</v>
      </c>
      <c r="K11" s="118"/>
    </row>
    <row r="12" spans="1:11" ht="46.0" customHeight="1" x14ac:dyDescent="0.15">
      <c r="A12" s="118" t="s">
        <v>380</v>
      </c>
      <c r="B12" s="118" t="s">
        <v>381</v>
      </c>
      <c r="C12" s="118" t="s">
        <v>382</v>
      </c>
      <c r="D12" s="118" t="s">
        <v>383</v>
      </c>
      <c r="E12" s="118" t="s">
        <v>107</v>
      </c>
      <c r="F12" s="118" t="s">
        <v>363</v>
      </c>
      <c r="G12" s="118" t="s">
        <v>363</v>
      </c>
      <c r="H12" s="118" t="s">
        <v>363</v>
      </c>
      <c r="I12" s="118" t="s">
        <v>363</v>
      </c>
      <c r="J12" s="142" t="s">
        <f>IF(COUNTIF(F12:I12,"Not Checked")=4,"Not measured",COUNTIF(F12:I12,"Yes")/4)</f>
        <v>364</v>
      </c>
      <c r="K12" s="118"/>
    </row>
    <row r="13" spans="1:11" ht="46.0" customHeight="1" x14ac:dyDescent="0.15">
      <c r="A13" s="118" t="s">
        <v>384</v>
      </c>
      <c r="B13" s="118" t="s">
        <v>385</v>
      </c>
      <c r="C13" s="118" t="s">
        <v>382</v>
      </c>
      <c r="D13" s="118" t="s">
        <v>386</v>
      </c>
      <c r="E13" s="118" t="s">
        <v>61</v>
      </c>
      <c r="F13" s="118" t="s">
        <v>363</v>
      </c>
      <c r="G13" s="118" t="s">
        <v>363</v>
      </c>
      <c r="H13" s="118" t="s">
        <v>363</v>
      </c>
      <c r="I13" s="118" t="s">
        <v>363</v>
      </c>
      <c r="J13" s="142" t="s">
        <f>IF(COUNTIF(F13:I13,"Not Checked")=4,"Not measured",COUNTIF(F13:I13,"Yes")/4)</f>
        <v>364</v>
      </c>
      <c r="K13" s="118"/>
    </row>
    <row r="14" spans="1:11" ht="46.0" customHeight="1" x14ac:dyDescent="0.15">
      <c r="A14" s="118" t="s">
        <v>387</v>
      </c>
      <c r="B14" s="118" t="s">
        <v>388</v>
      </c>
      <c r="C14" s="118" t="s">
        <v>382</v>
      </c>
      <c r="D14" s="118" t="s">
        <v>389</v>
      </c>
      <c r="E14" s="118" t="s">
        <v>107</v>
      </c>
      <c r="F14" s="118" t="s">
        <v>363</v>
      </c>
      <c r="G14" s="118" t="s">
        <v>363</v>
      </c>
      <c r="H14" s="118" t="s">
        <v>363</v>
      </c>
      <c r="I14" s="118" t="s">
        <v>363</v>
      </c>
      <c r="J14" s="142" t="s">
        <f>IF(COUNTIF(F14:I14,"Not Checked")=4,"Not measured",COUNTIF(F14:I14,"Yes")/4)</f>
        <v>364</v>
      </c>
      <c r="K14" s="118"/>
    </row>
    <row r="15" spans="1:11" ht="46.0" customHeight="1" x14ac:dyDescent="0.15">
      <c r="A15" s="118" t="s">
        <v>390</v>
      </c>
      <c r="B15" s="118" t="s">
        <v>391</v>
      </c>
      <c r="C15" s="118" t="s">
        <v>361</v>
      </c>
      <c r="D15" s="118" t="s">
        <v>392</v>
      </c>
      <c r="E15" s="118" t="s">
        <v>107</v>
      </c>
      <c r="F15" s="118" t="s">
        <v>363</v>
      </c>
      <c r="G15" s="118" t="s">
        <v>363</v>
      </c>
      <c r="H15" s="118" t="s">
        <v>363</v>
      </c>
      <c r="I15" s="118" t="s">
        <v>363</v>
      </c>
      <c r="J15" s="142" t="s">
        <f>IF(COUNTIF(F15:I15,"Not Checked")=4,"Not measured",COUNTIF(F15:I15,"Yes")/4)</f>
        <v>364</v>
      </c>
      <c r="K15" s="118"/>
    </row>
    <row r="16" spans="1:11" ht="46.0" customHeight="1" x14ac:dyDescent="0.15">
      <c r="A16" s="118" t="s">
        <v>393</v>
      </c>
      <c r="B16" s="118" t="s">
        <v>394</v>
      </c>
      <c r="C16" s="118" t="s">
        <v>382</v>
      </c>
      <c r="D16" s="118" t="s">
        <v>395</v>
      </c>
      <c r="E16" s="118" t="s">
        <v>107</v>
      </c>
      <c r="F16" s="118" t="s">
        <v>363</v>
      </c>
      <c r="G16" s="118" t="s">
        <v>363</v>
      </c>
      <c r="H16" s="118" t="s">
        <v>363</v>
      </c>
      <c r="I16" s="118" t="s">
        <v>363</v>
      </c>
      <c r="J16" s="142" t="s">
        <f>IF(COUNTIF(F16:I16,"Not Checked")=4,"Not measured",COUNTIF(F16:I16,"Yes")/4)</f>
        <v>364</v>
      </c>
      <c r="K16" s="118"/>
    </row>
    <row r="17" spans="1:11" ht="46.0" customHeight="1" x14ac:dyDescent="0.15">
      <c r="A17" s="118" t="s">
        <v>396</v>
      </c>
      <c r="B17" s="118" t="s">
        <v>397</v>
      </c>
      <c r="C17" s="118" t="s">
        <v>373</v>
      </c>
      <c r="D17" s="118" t="s">
        <v>398</v>
      </c>
      <c r="E17" s="118" t="s">
        <v>61</v>
      </c>
      <c r="F17" s="118" t="s">
        <v>363</v>
      </c>
      <c r="G17" s="118" t="s">
        <v>363</v>
      </c>
      <c r="H17" s="118" t="s">
        <v>363</v>
      </c>
      <c r="I17" s="118" t="s">
        <v>363</v>
      </c>
      <c r="J17" s="142" t="s">
        <f>IF(COUNTIF(F17:I17,"Not Checked")=4,"Not measured",COUNTIF(F17:I17,"Yes")/4)</f>
        <v>364</v>
      </c>
      <c r="K17" s="118"/>
    </row>
    <row r="18" spans="1:11" ht="46.0" customHeight="1" x14ac:dyDescent="0.15">
      <c r="A18" s="118" t="s">
        <v>399</v>
      </c>
      <c r="B18" s="118" t="s">
        <v>400</v>
      </c>
      <c r="C18" s="118" t="s">
        <v>373</v>
      </c>
      <c r="D18" s="118" t="s">
        <v>401</v>
      </c>
      <c r="E18" s="118" t="s">
        <v>402</v>
      </c>
      <c r="F18" s="118" t="s">
        <v>363</v>
      </c>
      <c r="G18" s="118" t="s">
        <v>363</v>
      </c>
      <c r="H18" s="118" t="s">
        <v>363</v>
      </c>
      <c r="I18" s="118" t="s">
        <v>363</v>
      </c>
      <c r="J18" s="142" t="s">
        <f>IF(COUNTIF(F18:I18,"Not Checked")=4,"Not measured",COUNTIF(F18:I18,"Yes")/4)</f>
        <v>364</v>
      </c>
      <c r="K18" s="118" t="s">
        <v>403</v>
      </c>
    </row>
    <row r="19" spans="1:11" ht="46.0" customHeight="1" x14ac:dyDescent="0.15">
      <c r="A19" s="118" t="s">
        <v>404</v>
      </c>
      <c r="B19" s="118" t="s">
        <v>405</v>
      </c>
      <c r="C19" s="118" t="s">
        <v>382</v>
      </c>
      <c r="D19" s="118" t="s">
        <v>406</v>
      </c>
      <c r="E19" s="118" t="s">
        <v>149</v>
      </c>
      <c r="F19" s="118" t="s">
        <v>363</v>
      </c>
      <c r="G19" s="118" t="s">
        <v>363</v>
      </c>
      <c r="H19" s="118" t="s">
        <v>363</v>
      </c>
      <c r="I19" s="118" t="s">
        <v>363</v>
      </c>
      <c r="J19" s="142" t="s">
        <f>IF(COUNTIF(F19:I19,"Not Checked")=4,"Not measured",COUNTIF(F19:I19,"Yes")/4)</f>
        <v>364</v>
      </c>
      <c r="K19" s="118"/>
    </row>
    <row r="20" spans="1:11" ht="46.0" customHeight="1" x14ac:dyDescent="0.15">
      <c r="A20" s="120" t="s">
        <v>407</v>
      </c>
      <c r="B20" s="120" t="s">
        <v>408</v>
      </c>
      <c r="C20" s="120" t="s">
        <v>382</v>
      </c>
      <c r="D20" s="120" t="s">
        <v>409</v>
      </c>
      <c r="E20" s="120" t="s">
        <v>107</v>
      </c>
      <c r="F20" s="120" t="s">
        <v>363</v>
      </c>
      <c r="G20" s="120" t="s">
        <v>363</v>
      </c>
      <c r="H20" s="120" t="s">
        <v>363</v>
      </c>
      <c r="I20" s="120" t="s">
        <v>363</v>
      </c>
      <c r="J20" s="143" t="s">
        <f>IF(COUNTIF(F20:I20,"Not Checked")=4,"Not measured",COUNTIF(F20:I20,"Yes")/4)</f>
        <v>364</v>
      </c>
      <c r="K20" s="120"/>
    </row>
  </sheetData>
  <mergeCells count="2">
    <mergeCell ref="A1:K1"/>
    <mergeCell ref="A2:K2"/>
  </mergeCells>
  <phoneticPr fontId="0" type="noConversion"/>
  <conditionalFormatting sqref="F6:I20">
    <cfRule type="containsText" priority="1" operator="containsText" text="Yes" dxfId="4">
      <formula>NOT(ISERROR(SEARCH("Yes", F6)))</formula>
    </cfRule>
    <cfRule type="containsText" priority="2" operator="containsText" text="No" dxfId="0">
      <formula>NOT(ISERROR(SEARCH("No", F6)))</formula>
    </cfRule>
    <cfRule type="containsText" priority="3" operator="containsText" text="Not Checked" dxfId="3">
      <formula>NOT(ISERROR(SEARCH("Not Checked", F6)))</formula>
    </cfRule>
  </conditionalFormatting>
  <dataValidations count="1">
    <dataValidation type="list" sqref="F6:I20">
      <formula1>"Yes,No,Not Checked"</formula1>
    </dataValidation>
  </dataValidations>
  <pageMargins left="0.6999125161508876" right="0.6999125161508876" top="0.7499062639521802" bottom="0.7499062639521802" header="0.2999625102741512" footer="0.2999625102741512"/>
  <pageSetup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E19"/>
  <sheetViews>
    <sheetView showGridLines="0" zoomScaleNormal="100" topLeftCell="A1" workbookViewId="0">
      <selection activeCell="A1" activeCellId="0" sqref="A1"/>
    </sheetView>
  </sheetViews>
  <sheetFormatPr defaultRowHeight="15.0" defaultColWidth="8.0" x14ac:dyDescent="0.15"/>
  <cols>
    <col min="1" max="1" width="11.0" customWidth="1"/>
    <col min="2" max="2" width="25.0" customWidth="1"/>
    <col min="3" max="3" width="58.0" customWidth="1"/>
    <col min="4" max="4" width="55.0" customWidth="1"/>
    <col min="5" max="5" width="17.0" customWidth="1"/>
  </cols>
  <sheetData>
    <row r="1" spans="1:5" ht="34.0" customHeight="1" x14ac:dyDescent="0.15">
      <c r="A1" s="218" t="s">
        <v>410</v>
      </c>
      <c r="B1" s="218" t="s">
        <v>410</v>
      </c>
      <c r="C1" s="218" t="s">
        <v>410</v>
      </c>
      <c r="D1" s="218" t="s">
        <v>410</v>
      </c>
      <c r="E1" s="218" t="s">
        <v>410</v>
      </c>
    </row>
    <row r="2" spans="1:5" ht="25.0" customHeight="1" x14ac:dyDescent="0.15">
      <c r="A2" s="217" t="s">
        <v>411</v>
      </c>
      <c r="B2" s="217" t="s">
        <v>411</v>
      </c>
      <c r="C2" s="217" t="s">
        <v>411</v>
      </c>
      <c r="D2" s="217" t="s">
        <v>411</v>
      </c>
      <c r="E2" s="217" t="s">
        <v>411</v>
      </c>
    </row>
    <row r="3" spans="1:5" x14ac:dyDescent="0.15">
      <c r="A3" s="136"/>
      <c r="B3" s="136"/>
      <c r="C3" s="136"/>
      <c r="D3" s="136"/>
      <c r="E3" s="136"/>
    </row>
    <row r="4" spans="1:5" x14ac:dyDescent="0.15">
      <c r="A4" s="136"/>
      <c r="B4" s="136"/>
      <c r="C4" s="136"/>
      <c r="D4" s="136"/>
      <c r="E4" s="136"/>
    </row>
    <row r="5" spans="1:5" ht="30.0" customHeight="1" x14ac:dyDescent="0.15">
      <c r="A5" s="115" t="s">
        <v>412</v>
      </c>
      <c r="B5" s="115" t="s">
        <v>413</v>
      </c>
      <c r="C5" s="115" t="s">
        <v>414</v>
      </c>
      <c r="D5" s="115" t="s">
        <v>415</v>
      </c>
      <c r="E5" s="115" t="s">
        <v>416</v>
      </c>
    </row>
    <row r="6" spans="1:5" ht="42.0" customHeight="1" x14ac:dyDescent="0.15">
      <c r="A6" s="116" t="s">
        <v>417</v>
      </c>
      <c r="B6" s="116" t="s">
        <v>418</v>
      </c>
      <c r="C6" s="116" t="s">
        <v>152</v>
      </c>
      <c r="D6" s="116" t="s">
        <v>419</v>
      </c>
      <c r="E6" s="117">
        <v>46250.0</v>
      </c>
    </row>
    <row r="7" spans="1:5" ht="42.0" customHeight="1" x14ac:dyDescent="0.15">
      <c r="A7" s="118" t="s">
        <v>420</v>
      </c>
      <c r="B7" s="118" t="s">
        <v>418</v>
      </c>
      <c r="C7" s="118" t="s">
        <v>167</v>
      </c>
      <c r="D7" s="118" t="s">
        <v>421</v>
      </c>
      <c r="E7" s="119">
        <v>46250.0</v>
      </c>
    </row>
    <row r="8" spans="1:5" ht="42.0" customHeight="1" x14ac:dyDescent="0.15">
      <c r="A8" s="118" t="s">
        <v>422</v>
      </c>
      <c r="B8" s="118" t="s">
        <v>418</v>
      </c>
      <c r="C8" s="118" t="s">
        <v>126</v>
      </c>
      <c r="D8" s="118" t="s">
        <v>423</v>
      </c>
      <c r="E8" s="119">
        <v>46250.0</v>
      </c>
    </row>
    <row r="9" spans="1:5" ht="42.0" customHeight="1" x14ac:dyDescent="0.15">
      <c r="A9" s="118" t="s">
        <v>424</v>
      </c>
      <c r="B9" s="118" t="s">
        <v>418</v>
      </c>
      <c r="C9" s="118" t="s">
        <v>222</v>
      </c>
      <c r="D9" s="118" t="s">
        <v>425</v>
      </c>
      <c r="E9" s="119">
        <v>46250.0</v>
      </c>
    </row>
    <row r="10" spans="1:5" ht="42.0" customHeight="1" x14ac:dyDescent="0.15">
      <c r="A10" s="118" t="s">
        <v>426</v>
      </c>
      <c r="B10" s="118" t="s">
        <v>418</v>
      </c>
      <c r="C10" s="118" t="s">
        <v>427</v>
      </c>
      <c r="D10" s="118" t="s">
        <v>428</v>
      </c>
      <c r="E10" s="119">
        <v>46250.0</v>
      </c>
    </row>
    <row r="11" spans="1:5" ht="42.0" customHeight="1" x14ac:dyDescent="0.15">
      <c r="A11" s="118" t="s">
        <v>429</v>
      </c>
      <c r="B11" s="118" t="s">
        <v>418</v>
      </c>
      <c r="C11" s="118" t="s">
        <v>191</v>
      </c>
      <c r="D11" s="118" t="s">
        <v>430</v>
      </c>
      <c r="E11" s="119">
        <v>46250.0</v>
      </c>
    </row>
    <row r="12" spans="1:5" ht="42.0" customHeight="1" x14ac:dyDescent="0.15">
      <c r="A12" s="118" t="s">
        <v>431</v>
      </c>
      <c r="B12" s="118" t="s">
        <v>418</v>
      </c>
      <c r="C12" s="118" t="s">
        <v>432</v>
      </c>
      <c r="D12" s="118" t="s">
        <v>433</v>
      </c>
      <c r="E12" s="119">
        <v>46250.0</v>
      </c>
    </row>
    <row r="13" spans="1:5" ht="42.0" customHeight="1" x14ac:dyDescent="0.15">
      <c r="A13" s="118" t="s">
        <v>434</v>
      </c>
      <c r="B13" s="118" t="s">
        <v>435</v>
      </c>
      <c r="C13" s="118" t="s">
        <v>436</v>
      </c>
      <c r="D13" s="118" t="s">
        <v>437</v>
      </c>
      <c r="E13" s="119">
        <v>46250.0</v>
      </c>
    </row>
    <row r="14" spans="1:5" ht="42.0" customHeight="1" x14ac:dyDescent="0.15">
      <c r="A14" s="118" t="s">
        <v>438</v>
      </c>
      <c r="B14" s="118" t="s">
        <v>435</v>
      </c>
      <c r="C14" s="118" t="s">
        <v>142</v>
      </c>
      <c r="D14" s="118" t="s">
        <v>439</v>
      </c>
      <c r="E14" s="119">
        <v>46250.0</v>
      </c>
    </row>
    <row r="15" spans="1:5" ht="42.0" customHeight="1" x14ac:dyDescent="0.15">
      <c r="A15" s="118" t="s">
        <v>440</v>
      </c>
      <c r="B15" s="118" t="s">
        <v>441</v>
      </c>
      <c r="C15" s="118" t="s">
        <v>442</v>
      </c>
      <c r="D15" s="118" t="s">
        <v>443</v>
      </c>
      <c r="E15" s="119">
        <v>46250.0</v>
      </c>
    </row>
    <row r="16" spans="1:5" ht="42.0" customHeight="1" x14ac:dyDescent="0.15">
      <c r="A16" s="118" t="s">
        <v>444</v>
      </c>
      <c r="B16" s="118" t="s">
        <v>445</v>
      </c>
      <c r="C16" s="118" t="s">
        <v>446</v>
      </c>
      <c r="D16" s="118" t="s">
        <v>447</v>
      </c>
      <c r="E16" s="119">
        <v>46250.0</v>
      </c>
    </row>
    <row r="17" spans="1:5" ht="42.0" customHeight="1" x14ac:dyDescent="0.15">
      <c r="A17" s="118" t="s">
        <v>448</v>
      </c>
      <c r="B17" s="118" t="s">
        <v>445</v>
      </c>
      <c r="C17" s="118" t="s">
        <v>449</v>
      </c>
      <c r="D17" s="118" t="s">
        <v>450</v>
      </c>
      <c r="E17" s="119">
        <v>46250.0</v>
      </c>
    </row>
    <row r="18" spans="1:5" ht="42.0" customHeight="1" x14ac:dyDescent="0.15">
      <c r="A18" s="118" t="s">
        <v>451</v>
      </c>
      <c r="B18" s="118" t="s">
        <v>452</v>
      </c>
      <c r="C18" s="118" t="s">
        <v>453</v>
      </c>
      <c r="D18" s="118" t="s">
        <v>454</v>
      </c>
      <c r="E18" s="119">
        <v>46250.0</v>
      </c>
    </row>
    <row r="19" spans="1:5" ht="42.0" customHeight="1" x14ac:dyDescent="0.15">
      <c r="A19" s="120" t="s">
        <v>455</v>
      </c>
      <c r="B19" s="120" t="s">
        <v>456</v>
      </c>
      <c r="C19" s="120" t="s">
        <v>457</v>
      </c>
      <c r="D19" s="120" t="s">
        <v>458</v>
      </c>
      <c r="E19" s="121">
        <v>46250.0</v>
      </c>
    </row>
  </sheetData>
  <mergeCells count="2">
    <mergeCell ref="A1:E1"/>
    <mergeCell ref="A2:E2"/>
  </mergeCells>
  <phoneticPr fontId="0" type="noConversion"/>
  <pageMargins left="0.6999125161508876" right="0.6999125161508876" top="0.7499062639521802" bottom="0.7499062639521802" header="0.2999625102741512" footer="0.2999625102741512"/>
  <pageSetup paperSize="9"/>
</worksheet>
</file>

<file path=docProps/app.xml><?xml version="1.0" encoding="utf-8"?>
<Properties xmlns="http://schemas.openxmlformats.org/officeDocument/2006/extended-properties">
  <Template>Normal.eit</Template>
  <TotalTime>2</TotalTime>
  <Application>Honor_Office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HONOR Docs</cp:lastModifiedBy>
  <cp:revision>0</cp:revision>
  <dcterms:modified xsi:type="dcterms:W3CDTF">2026-08-16T01:15:55Z</dcterms:modified>
</cp:coreProperties>
</file>